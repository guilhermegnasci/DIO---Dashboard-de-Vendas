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3040" windowHeight="9192" tabRatio="181" firstSheet="3" activeTab="3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62913"/>
  <pivotCaches>
    <pivotCache cacheId="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3" l="1"/>
  <c r="C21" i="3"/>
</calcChain>
</file>

<file path=xl/sharedStrings.xml><?xml version="1.0" encoding="utf-8"?>
<sst xmlns="http://schemas.openxmlformats.org/spreadsheetml/2006/main" count="2019" uniqueCount="321">
  <si>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</si>
  <si>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</si>
  <si>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</si>
  <si>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</si>
  <si>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</si>
  <si>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</si>
  <si>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</si>
  <si>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</si>
  <si>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</si>
  <si>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</si>
  <si>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</si>
  <si>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</si>
  <si>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</si>
  <si>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</si>
  <si>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</si>
  <si>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</si>
  <si>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</si>
  <si>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</si>
  <si>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</si>
  <si>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</si>
  <si>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</si>
  <si>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</si>
  <si>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</si>
  <si>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</si>
  <si>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</si>
  <si>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</si>
  <si>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</si>
  <si>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</si>
  <si>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</si>
  <si>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</si>
  <si>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</si>
  <si>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</si>
  <si>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</si>
  <si>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</si>
  <si>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</si>
  <si>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</si>
  <si>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</si>
  <si>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</si>
  <si>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</si>
  <si>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</si>
  <si>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</si>
  <si>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</si>
  <si>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</si>
  <si>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</si>
  <si>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</si>
  <si>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</si>
  <si>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</si>
  <si>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</si>
  <si>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</si>
  <si>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</si>
  <si>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</si>
  <si>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</si>
  <si>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</si>
  <si>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</si>
  <si>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</si>
  <si>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</si>
  <si>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</si>
  <si>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</si>
  <si>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</si>
  <si>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</si>
  <si>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</si>
  <si>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</si>
  <si>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</si>
  <si>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</si>
  <si>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</si>
  <si>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</si>
  <si>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</si>
  <si>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</si>
  <si>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</si>
  <si>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</si>
  <si>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</si>
  <si>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</si>
  <si>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</si>
  <si>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</si>
  <si>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</si>
  <si>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</si>
  <si>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</si>
  <si>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</si>
  <si>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</si>
  <si>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</si>
  <si>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</si>
  <si>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</si>
  <si>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</si>
  <si>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</si>
  <si>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</si>
  <si>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</si>
  <si>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</si>
  <si>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</si>
  <si>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</si>
  <si>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</si>
  <si>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</si>
  <si>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</si>
  <si>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</si>
  <si>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</si>
  <si>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</si>
  <si>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</si>
  <si>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</si>
  <si>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</si>
  <si>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</si>
  <si>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</si>
  <si>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</si>
  <si>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</si>
  <si>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</si>
  <si>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</si>
  <si>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</si>
  <si>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</si>
  <si>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</si>
  <si>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</si>
  <si>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</si>
  <si>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</si>
  <si>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</si>
  <si>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</si>
  <si>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</si>
  <si>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</si>
  <si>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</si>
  <si>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</si>
  <si>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</si>
  <si>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</si>
  <si>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</si>
  <si>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</si>
  <si>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</si>
  <si>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</si>
  <si>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</si>
  <si>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</si>
  <si>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</si>
  <si>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</si>
  <si>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</si>
  <si>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</si>
  <si>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</si>
  <si>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</si>
  <si>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</si>
  <si>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</si>
  <si>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</si>
  <si>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</si>
  <si>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</si>
  <si>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</si>
  <si>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</si>
  <si>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</si>
  <si>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</si>
  <si>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</si>
  <si>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</si>
  <si>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</si>
  <si>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</si>
  <si>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</si>
  <si>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</si>
  <si>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</si>
  <si>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</si>
  <si>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</si>
  <si>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</si>
  <si>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</si>
  <si>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</si>
  <si>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</si>
  <si>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</si>
  <si>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</si>
  <si>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</si>
  <si>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</si>
  <si>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</si>
  <si>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</si>
  <si>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</si>
  <si>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</si>
  <si>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</si>
  <si>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</si>
  <si>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</si>
  <si>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</si>
  <si>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</si>
  <si>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</si>
  <si>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</si>
  <si>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</si>
  <si>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</si>
  <si>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</si>
  <si>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</si>
  <si>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</si>
  <si>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</si>
  <si>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</si>
  <si>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</si>
  <si>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</si>
  <si>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</si>
  <si>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</si>
  <si>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</si>
  <si>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</si>
  <si>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</si>
  <si>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</si>
  <si>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</si>
  <si>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</si>
  <si>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</si>
  <si>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</si>
  <si>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</si>
  <si>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</si>
  <si>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</si>
  <si>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</si>
  <si>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</si>
  <si>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</si>
  <si>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</si>
  <si>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</si>
  <si>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</si>
  <si>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</si>
  <si>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</si>
  <si>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</si>
  <si>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</si>
  <si>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</si>
  <si>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</si>
  <si>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</si>
  <si>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</si>
  <si>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</si>
  <si>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</si>
  <si>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</si>
  <si>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</si>
  <si>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</si>
  <si>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</si>
  <si>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</si>
  <si>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</si>
  <si>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</si>
  <si>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</si>
  <si>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</si>
  <si>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</si>
  <si>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</si>
  <si>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</si>
  <si>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</si>
  <si>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</si>
  <si>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</si>
  <si>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</si>
  <si>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</si>
  <si>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</si>
  <si>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</si>
  <si>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</si>
  <si>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</si>
  <si>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</si>
  <si>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</si>
  <si>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</si>
  <si>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</si>
  <si>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</si>
  <si>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</si>
  <si>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</si>
  <si>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</si>
  <si>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</si>
  <si>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</si>
  <si>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</si>
  <si>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</si>
  <si>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</si>
  <si>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</si>
  <si>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</si>
  <si>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</si>
  <si>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</si>
  <si>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</si>
  <si>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</si>
  <si>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</si>
  <si>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</si>
  <si>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</si>
  <si>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</si>
  <si>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</si>
  <si>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</si>
  <si>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</si>
  <si>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</si>
  <si>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</si>
  <si>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</si>
  <si>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</si>
  <si>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</si>
  <si>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</si>
  <si>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</si>
  <si>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</si>
  <si>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</si>
  <si>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</si>
  <si>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</si>
  <si>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</si>
  <si>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</si>
  <si>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</si>
  <si>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</si>
  <si>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</si>
  <si>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</si>
  <si>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</si>
  <si>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</si>
  <si>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</si>
  <si>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</si>
  <si>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</si>
  <si>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</si>
  <si>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</si>
  <si>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</si>
  <si>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</si>
  <si>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</si>
  <si>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</si>
  <si>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</si>
  <si>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</si>
  <si>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</si>
  <si>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</si>
  <si>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</si>
  <si>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</si>
  <si>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</si>
  <si>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</si>
  <si>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</si>
  <si>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</si>
  <si>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</si>
  <si>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</si>
  <si>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</si>
  <si>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</si>
  <si>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</si>
  <si>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</si>
  <si>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</si>
  <si>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</si>
  <si>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</si>
  <si>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</si>
  <si>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</si>
  <si>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</si>
  <si>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</si>
  <si>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</si>
  <si>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</si>
  <si>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</si>
  <si>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</si>
  <si>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</si>
  <si>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</si>
  <si>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</si>
  <si>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</si>
  <si>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</si>
  <si>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</si>
  <si>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</si>
  <si>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</si>
  <si>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</si>
  <si>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 xml:space="preserve">XBOX GAME PASS SUBSCRIPTIONS SALES </t>
  </si>
  <si>
    <t xml:space="preserve">Pergunta: Total de vendas de assinatura da EA </t>
  </si>
  <si>
    <t>Soma de EA Play Season Pass</t>
  </si>
  <si>
    <t>Pergunta: Total de vendas de assinatura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</si>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</sst>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6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3"/>
      <name val="Segoe UI Black"/>
      <family val="2"/>
    </font>
    <font>
      <b/>
      <sz val="15"/>
      <color rgb="FF22C55E"/>
      <name val="Segoe UI Black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E6E6E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2" applyFont="1"/>
    <xf numFmtId="0" fontId="0" fillId="8" borderId="0" xfId="0" applyFill="1"/>
    <xf numFmtId="0" fontId="4" fillId="0" borderId="2" xfId="1" applyFont="1" applyBorder="1"/>
    <xf numFmtId="0" fontId="5" fillId="0" borderId="2" xfId="1" applyFont="1" applyBorder="1" applyAlignment="1">
      <alignment horizontal="left" indent="3"/>
    </xf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AE6B1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>
      <tableStyleElement type="wholeTable" dxfId="1"/>
      <tableStyleElement type="headerRow" dxfId="0"/>
    </tableStyle>
  </tableStyles>
  <colors>
    <mruColors>
      <color rgb="FF22C55E"/>
      <color rgb="FF2AE6B1"/>
      <color rgb="FFFFFFFF"/>
      <color rgb="FFE6E6E6"/>
      <color rgb="FF5BF6A8"/>
      <color rgb="FFE8E6E9"/>
      <color rgb="FF000000"/>
      <color rgb="FFE0E0E0"/>
      <color rgb="FFEDEDED"/>
      <color rgb="FFF7F8FC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[DIO-dashboard-vendas.xlsx]C̳álculos!tbl_anual_total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"/>
        <c:spPr>
          <a:solidFill>
            <a:srgbClr val="5BF6A8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167-444F-A4EE-178161C173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C̳álculos!$B$7:$B$9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C̳álculos!$C$7:$C$9</c:f>
              <c:numCache>
                <c:formatCode>General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67-444F-A4EE-178161C17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1380064"/>
        <c:axId val="471376320"/>
      </c:barChart>
      <c:catAx>
        <c:axId val="471380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1376320"/>
        <c:crosses val="autoZero"/>
        <c:auto val="1"/>
        <c:lblAlgn val="ctr"/>
        <c:lblOffset val="100"/>
        <c:noMultiLvlLbl val="0"/>
      </c:catAx>
      <c:valAx>
        <c:axId val="4713763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71380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12" Type="http://schemas.openxmlformats.org/officeDocument/2006/relationships/image" Target="../media/image4.png"/><Relationship Id="rId2" Type="http://schemas.openxmlformats.org/officeDocument/2006/relationships/image" Target="../media/image6.png"/><Relationship Id="rId1" Type="http://schemas.openxmlformats.org/officeDocument/2006/relationships/image" Target="../media/image2.png"/><Relationship Id="rId11" Type="http://schemas.openxmlformats.org/officeDocument/2006/relationships/chart" Target="../charts/chart1.xml"/><Relationship Id="rId10" Type="http://schemas.openxmlformats.org/officeDocument/2006/relationships/image" Target="../media/image10.sv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xmlns="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18235" y="5227319"/>
          <a:ext cx="1732356" cy="69151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xmlns="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36420</xdr:colOff>
      <xdr:row>0</xdr:row>
      <xdr:rowOff>89087</xdr:rowOff>
    </xdr:from>
    <xdr:to>
      <xdr:col>2</xdr:col>
      <xdr:colOff>377640</xdr:colOff>
      <xdr:row>2</xdr:row>
      <xdr:rowOff>174812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59" t="21432" r="72537" b="23593"/>
        <a:stretch/>
      </xdr:blipFill>
      <xdr:spPr>
        <a:xfrm>
          <a:off x="1981761" y="89087"/>
          <a:ext cx="619126" cy="569819"/>
        </a:xfrm>
        <a:prstGeom prst="rect">
          <a:avLst/>
        </a:prstGeom>
      </xdr:spPr>
    </xdr:pic>
    <xdr:clientData/>
  </xdr:twoCellAnchor>
  <xdr:twoCellAnchor editAs="absolute">
    <xdr:from>
      <xdr:col>0</xdr:col>
      <xdr:colOff>21291</xdr:colOff>
      <xdr:row>7</xdr:row>
      <xdr:rowOff>326315</xdr:rowOff>
    </xdr:from>
    <xdr:to>
      <xdr:col>0</xdr:col>
      <xdr:colOff>1850091</xdr:colOff>
      <xdr:row>21</xdr:row>
      <xdr:rowOff>110042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291" y="1491727"/>
              <a:ext cx="1828800" cy="253589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133350</xdr:colOff>
      <xdr:row>4</xdr:row>
      <xdr:rowOff>85725</xdr:rowOff>
    </xdr:from>
    <xdr:to>
      <xdr:col>8</xdr:col>
      <xdr:colOff>476250</xdr:colOff>
      <xdr:row>11</xdr:row>
      <xdr:rowOff>171449</xdr:rowOff>
    </xdr:to>
    <xdr:grpSp>
      <xdr:nvGrpSpPr>
        <xdr:cNvPr id="14" name="Agrupar 13"/>
        <xdr:cNvGrpSpPr/>
      </xdr:nvGrpSpPr>
      <xdr:grpSpPr>
        <a:xfrm>
          <a:off x="2078691" y="910478"/>
          <a:ext cx="4654924" cy="1385606"/>
          <a:chOff x="2078691" y="910478"/>
          <a:chExt cx="4654924" cy="1385606"/>
        </a:xfrm>
      </xdr:grpSpPr>
      <xdr:sp macro="" textlink="">
        <xdr:nvSpPr>
          <xdr:cNvPr id="7" name="Retângulo Arredondado 6"/>
          <xdr:cNvSpPr/>
        </xdr:nvSpPr>
        <xdr:spPr>
          <a:xfrm>
            <a:off x="2078691" y="933449"/>
            <a:ext cx="4654924" cy="1362635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C21">
        <xdr:nvSpPr>
          <xdr:cNvPr id="8" name="Retângulo Arredondado 7"/>
          <xdr:cNvSpPr/>
        </xdr:nvSpPr>
        <xdr:spPr>
          <a:xfrm>
            <a:off x="3467099" y="1244470"/>
            <a:ext cx="3056966" cy="911598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956DD8DE-F3ED-4070-9F9F-EE015AB5B054}" type="TxLink">
              <a:rPr lang="en-US" sz="3200" b="1" i="0" u="none" strike="noStrike">
                <a:solidFill>
                  <a:srgbClr val="22C55E"/>
                </a:solidFill>
                <a:latin typeface="Aptos Narrow"/>
              </a:rPr>
              <a:pPr algn="ctr"/>
              <a:t> R$ 990,00 </a:t>
            </a:fld>
            <a:endParaRPr lang="pt-BR" sz="3200" b="1">
              <a:solidFill>
                <a:srgbClr val="22C55E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34E653DD-5BBB-B7D9-BDBD-2F59393458E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8061" b="31123"/>
          <a:stretch/>
        </xdr:blipFill>
        <xdr:spPr>
          <a:xfrm>
            <a:off x="2404222" y="1458782"/>
            <a:ext cx="1352326" cy="467286"/>
          </a:xfrm>
          <a:prstGeom prst="rect">
            <a:avLst/>
          </a:prstGeom>
        </xdr:spPr>
      </xdr:pic>
      <xdr:grpSp>
        <xdr:nvGrpSpPr>
          <xdr:cNvPr id="11" name="Agrupar 10"/>
          <xdr:cNvGrpSpPr/>
        </xdr:nvGrpSpPr>
        <xdr:grpSpPr>
          <a:xfrm>
            <a:off x="2078692" y="910478"/>
            <a:ext cx="4645399" cy="331134"/>
            <a:chOff x="2074794" y="907360"/>
            <a:chExt cx="4620454" cy="335031"/>
          </a:xfrm>
        </xdr:grpSpPr>
        <xdr:sp macro="" textlink="">
          <xdr:nvSpPr>
            <xdr:cNvPr id="10" name="Arredondar Retângulo no Mesmo Canto Lateral 9"/>
            <xdr:cNvSpPr/>
          </xdr:nvSpPr>
          <xdr:spPr>
            <a:xfrm>
              <a:off x="2074794" y="907360"/>
              <a:ext cx="4620454" cy="335031"/>
            </a:xfrm>
            <a:prstGeom prst="round2SameRect">
              <a:avLst/>
            </a:prstGeom>
            <a:solidFill>
              <a:srgbClr val="22C55E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b="0"/>
            </a:p>
          </xdr:txBody>
        </xdr:sp>
        <xdr:sp macro="" textlink="">
          <xdr:nvSpPr>
            <xdr:cNvPr id="4097" name="Text Box 1"/>
            <xdr:cNvSpPr txBox="1">
              <a:spLocks noChangeArrowheads="1"/>
            </xdr:cNvSpPr>
          </xdr:nvSpPr>
          <xdr:spPr bwMode="auto">
            <a:xfrm>
              <a:off x="2177922" y="971550"/>
              <a:ext cx="4498211" cy="204166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ctr" upright="1"/>
            <a:lstStyle/>
            <a:p>
              <a:pPr algn="ctr" rtl="0">
                <a:defRPr sz="1000"/>
              </a:pPr>
              <a:r>
                <a:rPr lang="pt-BR" sz="1100" b="0" i="0" u="none" strike="noStrike" baseline="0">
                  <a:solidFill>
                    <a:schemeClr val="bg1"/>
                  </a:solidFill>
                  <a:latin typeface="Segoe UI" panose="020B0502040204020203" pitchFamily="34" charset="0"/>
                  <a:ea typeface="Segoe UI Black" panose="020B0A02040204020203" pitchFamily="34" charset="0"/>
                  <a:cs typeface="Segoe UI" panose="020B0502040204020203" pitchFamily="34" charset="0"/>
                </a:rPr>
                <a:t>TOTAL SUBSCRIPTIONS EA SEASON PASS </a:t>
              </a:r>
            </a:p>
          </xdr:txBody>
        </xdr:sp>
      </xdr:grpSp>
    </xdr:grpSp>
    <xdr:clientData/>
  </xdr:twoCellAnchor>
  <xdr:twoCellAnchor>
    <xdr:from>
      <xdr:col>9</xdr:col>
      <xdr:colOff>228064</xdr:colOff>
      <xdr:row>4</xdr:row>
      <xdr:rowOff>85725</xdr:rowOff>
    </xdr:from>
    <xdr:to>
      <xdr:col>16</xdr:col>
      <xdr:colOff>346847</xdr:colOff>
      <xdr:row>11</xdr:row>
      <xdr:rowOff>171449</xdr:rowOff>
    </xdr:to>
    <xdr:grpSp>
      <xdr:nvGrpSpPr>
        <xdr:cNvPr id="13" name="Agrupar 12"/>
        <xdr:cNvGrpSpPr/>
      </xdr:nvGrpSpPr>
      <xdr:grpSpPr>
        <a:xfrm>
          <a:off x="7157782" y="910478"/>
          <a:ext cx="4654924" cy="1385606"/>
          <a:chOff x="7157782" y="910478"/>
          <a:chExt cx="4654924" cy="1385606"/>
        </a:xfrm>
      </xdr:grpSpPr>
      <xdr:sp macro="" textlink="">
        <xdr:nvSpPr>
          <xdr:cNvPr id="18" name="Retângulo Arredondado 17"/>
          <xdr:cNvSpPr/>
        </xdr:nvSpPr>
        <xdr:spPr>
          <a:xfrm>
            <a:off x="7157782" y="933449"/>
            <a:ext cx="4654924" cy="1362635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C34">
        <xdr:nvSpPr>
          <xdr:cNvPr id="19" name="Retângulo Arredondado 18"/>
          <xdr:cNvSpPr/>
        </xdr:nvSpPr>
        <xdr:spPr>
          <a:xfrm>
            <a:off x="8546190" y="1244470"/>
            <a:ext cx="3056966" cy="911598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1B331889-ECFA-49CF-9875-0FE9FC23C50B}" type="TxLink">
              <a:rPr lang="en-US" sz="3200" b="1" i="0" u="none" strike="noStrike">
                <a:solidFill>
                  <a:srgbClr val="22C55E"/>
                </a:solidFill>
                <a:latin typeface="Aptos Narrow"/>
              </a:rPr>
              <a:t> R$ 990,00 </a:t>
            </a:fld>
            <a:endParaRPr lang="pt-BR" sz="3200" b="1">
              <a:solidFill>
                <a:srgbClr val="22C55E"/>
              </a:solidFill>
            </a:endParaRPr>
          </a:p>
        </xdr:txBody>
      </xdr:sp>
      <xdr:grpSp>
        <xdr:nvGrpSpPr>
          <xdr:cNvPr id="21" name="Agrupar 20"/>
          <xdr:cNvGrpSpPr/>
        </xdr:nvGrpSpPr>
        <xdr:grpSpPr>
          <a:xfrm>
            <a:off x="7157783" y="910478"/>
            <a:ext cx="4645399" cy="331134"/>
            <a:chOff x="2074794" y="907360"/>
            <a:chExt cx="4620454" cy="335031"/>
          </a:xfrm>
        </xdr:grpSpPr>
        <xdr:sp macro="" textlink="">
          <xdr:nvSpPr>
            <xdr:cNvPr id="22" name="Arredondar Retângulo no Mesmo Canto Lateral 21"/>
            <xdr:cNvSpPr/>
          </xdr:nvSpPr>
          <xdr:spPr>
            <a:xfrm>
              <a:off x="2074794" y="907360"/>
              <a:ext cx="4620454" cy="335031"/>
            </a:xfrm>
            <a:prstGeom prst="round2SameRect">
              <a:avLst/>
            </a:prstGeom>
            <a:solidFill>
              <a:srgbClr val="22C55E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3" name="Text Box 1"/>
            <xdr:cNvSpPr txBox="1">
              <a:spLocks noChangeArrowheads="1"/>
            </xdr:cNvSpPr>
          </xdr:nvSpPr>
          <xdr:spPr bwMode="auto">
            <a:xfrm>
              <a:off x="2177922" y="971550"/>
              <a:ext cx="4498211" cy="204166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0" bIns="0" anchor="ctr" upright="1"/>
            <a:lstStyle/>
            <a:p>
              <a:pPr algn="ctr" rtl="0">
                <a:defRPr sz="1000"/>
              </a:pPr>
              <a:r>
                <a:rPr lang="pt-BR" sz="1100" b="0" i="0" u="none" strike="noStrike" baseline="0">
                  <a:solidFill>
                    <a:schemeClr val="bg1"/>
                  </a:solidFill>
                  <a:latin typeface="Segoe UI" panose="020B0502040204020203" pitchFamily="34" charset="0"/>
                  <a:ea typeface="Segoe UI Black" panose="020B0A02040204020203" pitchFamily="34" charset="0"/>
                  <a:cs typeface="Segoe UI" panose="020B0502040204020203" pitchFamily="34" charset="0"/>
                </a:rPr>
                <a:t>TOTAL SUBSCRIPTIONS EA SEASON PASS </a:t>
              </a:r>
            </a:p>
          </xdr:txBody>
        </xdr:sp>
      </xdr:grpSp>
      <xdr:grpSp>
        <xdr:nvGrpSpPr>
          <xdr:cNvPr id="24" name="Agrupar 23">
            <a:extLst>
              <a:ext uri="{FF2B5EF4-FFF2-40B4-BE49-F238E27FC236}">
                <a16:creationId xmlns:a16="http://schemas.microsoft.com/office/drawing/2014/main" id="{A71E6AF1-ADEE-EB3B-0380-7B4EF5640C97}"/>
              </a:ext>
            </a:extLst>
          </xdr:cNvPr>
          <xdr:cNvGrpSpPr/>
        </xdr:nvGrpSpPr>
        <xdr:grpSpPr>
          <a:xfrm>
            <a:off x="7386918" y="1434353"/>
            <a:ext cx="1425388" cy="601868"/>
            <a:chOff x="3495675" y="5400674"/>
            <a:chExt cx="1549476" cy="752476"/>
          </a:xfrm>
        </xdr:grpSpPr>
        <xdr:pic>
          <xdr:nvPicPr>
            <xdr:cNvPr id="25" name="Imagem 24">
              <a:extLst>
                <a:ext uri="{FF2B5EF4-FFF2-40B4-BE49-F238E27FC236}">
                  <a16:creationId xmlns:a16="http://schemas.microsoft.com/office/drawing/2014/main" id="{B0CF571B-D3D1-7AD8-F100-6A3A279BE54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6" name="Gráfico 13">
              <a:extLst>
                <a:ext uri="{FF2B5EF4-FFF2-40B4-BE49-F238E27FC236}">
                  <a16:creationId xmlns:a16="http://schemas.microsoft.com/office/drawing/2014/main" id="{A1F40A76-E1BB-A23E-B668-9F79247AB09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xmlns="" r:embed="rId10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196103</xdr:colOff>
      <xdr:row>14</xdr:row>
      <xdr:rowOff>73959</xdr:rowOff>
    </xdr:from>
    <xdr:to>
      <xdr:col>16</xdr:col>
      <xdr:colOff>510987</xdr:colOff>
      <xdr:row>31</xdr:row>
      <xdr:rowOff>45384</xdr:rowOff>
    </xdr:to>
    <xdr:grpSp>
      <xdr:nvGrpSpPr>
        <xdr:cNvPr id="27" name="Agrupar 26"/>
        <xdr:cNvGrpSpPr/>
      </xdr:nvGrpSpPr>
      <xdr:grpSpPr>
        <a:xfrm>
          <a:off x="2141444" y="2736477"/>
          <a:ext cx="9835402" cy="3019425"/>
          <a:chOff x="2141444" y="2736477"/>
          <a:chExt cx="9835402" cy="3019425"/>
        </a:xfrm>
      </xdr:grpSpPr>
      <xdr:grpSp>
        <xdr:nvGrpSpPr>
          <xdr:cNvPr id="6" name="Agrupar 5"/>
          <xdr:cNvGrpSpPr/>
        </xdr:nvGrpSpPr>
        <xdr:grpSpPr>
          <a:xfrm>
            <a:off x="2152089" y="2736477"/>
            <a:ext cx="9824757" cy="3019425"/>
            <a:chOff x="2154914" y="1072425"/>
            <a:chExt cx="4671701" cy="2886075"/>
          </a:xfrm>
        </xdr:grpSpPr>
        <xdr:sp macro="" textlink="">
          <xdr:nvSpPr>
            <xdr:cNvPr id="5" name="Retângulo Arredondado 4"/>
            <xdr:cNvSpPr/>
          </xdr:nvSpPr>
          <xdr:spPr>
            <a:xfrm>
              <a:off x="2154914" y="1072425"/>
              <a:ext cx="4638675" cy="2886075"/>
            </a:xfrm>
            <a:prstGeom prst="roundRect">
              <a:avLst>
                <a:gd name="adj" fmla="val 1039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/>
            <xdr:cNvGraphicFramePr>
              <a:graphicFrameLocks/>
            </xdr:cNvGraphicFramePr>
          </xdr:nvGraphicFramePr>
          <xdr:xfrm>
            <a:off x="2254615" y="1143882"/>
            <a:ext cx="4572000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1"/>
            </a:graphicData>
          </a:graphic>
        </xdr:graphicFrame>
      </xdr:grpSp>
      <xdr:sp macro="" textlink="">
        <xdr:nvSpPr>
          <xdr:cNvPr id="29" name="Arredondar Retângulo no Mesmo Canto Lateral 28"/>
          <xdr:cNvSpPr/>
        </xdr:nvSpPr>
        <xdr:spPr>
          <a:xfrm>
            <a:off x="2141444" y="2739278"/>
            <a:ext cx="9799544" cy="331134"/>
          </a:xfrm>
          <a:prstGeom prst="round2SameRect">
            <a:avLst/>
          </a:prstGeom>
          <a:solidFill>
            <a:srgbClr val="22C55E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100" b="1"/>
              <a:t>TOTAL</a:t>
            </a:r>
            <a:r>
              <a:rPr lang="pt-BR" sz="1100" b="1" baseline="0"/>
              <a:t> SUBSCRIPTON XBOX GAME PASS</a:t>
            </a:r>
            <a:endParaRPr lang="pt-BR" sz="1100" b="1"/>
          </a:p>
        </xdr:txBody>
      </xdr:sp>
    </xdr:grpSp>
    <xdr:clientData/>
  </xdr:twoCellAnchor>
  <xdr:twoCellAnchor>
    <xdr:from>
      <xdr:col>0</xdr:col>
      <xdr:colOff>546847</xdr:colOff>
      <xdr:row>1</xdr:row>
      <xdr:rowOff>8965</xdr:rowOff>
    </xdr:from>
    <xdr:to>
      <xdr:col>0</xdr:col>
      <xdr:colOff>1303132</xdr:colOff>
      <xdr:row>4</xdr:row>
      <xdr:rowOff>56926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46847" y="188259"/>
          <a:ext cx="756285" cy="693420"/>
        </a:xfrm>
        <a:prstGeom prst="ellipse">
          <a:avLst/>
        </a:prstGeom>
        <a:blipFill>
          <a:blip xmlns:r="http://schemas.openxmlformats.org/officeDocument/2006/relationships" r:embed="rId12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44823</xdr:colOff>
      <xdr:row>5</xdr:row>
      <xdr:rowOff>53787</xdr:rowOff>
    </xdr:from>
    <xdr:to>
      <xdr:col>0</xdr:col>
      <xdr:colOff>1891552</xdr:colOff>
      <xdr:row>7</xdr:row>
      <xdr:rowOff>116540</xdr:rowOff>
    </xdr:to>
    <xdr:sp macro="" textlink="">
      <xdr:nvSpPr>
        <xdr:cNvPr id="28" name="CaixaDeTexto 27"/>
        <xdr:cNvSpPr txBox="1"/>
      </xdr:nvSpPr>
      <xdr:spPr>
        <a:xfrm>
          <a:off x="44823" y="968187"/>
          <a:ext cx="1846729" cy="31376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&gt; Bem</a:t>
          </a:r>
          <a:r>
            <a:rPr lang="pt-BR" sz="14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vinda Liana</a:t>
          </a:r>
          <a:endParaRPr lang="pt-BR" sz="14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GUILHERME" refreshedDate="46297.5910337963" createdVersion="6" refreshedVersion="6" minRefreshableVersion="3" recordCount="295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n v="3231"/>
    <x v="0"/>
    <x v="0"/>
    <d v="2024-01-01T00:00:00"/>
    <x v="0"/>
    <n v="15"/>
    <x v="0"/>
    <x v="0"/>
    <x v="0"/>
    <s v="Yes"/>
    <n v="20"/>
    <n v="5"/>
    <n v="60"/>
  </r>
  <r>
    <n v="3232"/>
    <x v="1"/>
    <x v="1"/>
    <d v="2024-01-15T00:00:00"/>
    <x v="1"/>
    <n v="5"/>
    <x v="1"/>
    <x v="1"/>
    <x v="1"/>
    <s v="No"/>
    <n v="0"/>
    <n v="0"/>
    <n v="5"/>
  </r>
  <r>
    <n v="3233"/>
    <x v="2"/>
    <x v="2"/>
    <d v="2024-02-10T00:00:00"/>
    <x v="0"/>
    <n v="10"/>
    <x v="2"/>
    <x v="1"/>
    <x v="1"/>
    <s v="Yes"/>
    <n v="20"/>
    <n v="10"/>
    <n v="20"/>
  </r>
  <r>
    <n v="3234"/>
    <x v="3"/>
    <x v="0"/>
    <d v="2024-02-20T00:00:00"/>
    <x v="1"/>
    <n v="15"/>
    <x v="0"/>
    <x v="0"/>
    <x v="0"/>
    <s v="Yes"/>
    <n v="20"/>
    <n v="3"/>
    <n v="62"/>
  </r>
  <r>
    <n v="3235"/>
    <x v="4"/>
    <x v="1"/>
    <d v="2024-03-05T00:00:00"/>
    <x v="0"/>
    <n v="5"/>
    <x v="0"/>
    <x v="1"/>
    <x v="1"/>
    <s v="No"/>
    <n v="0"/>
    <n v="1"/>
    <n v="4"/>
  </r>
  <r>
    <n v="3236"/>
    <x v="5"/>
    <x v="2"/>
    <d v="2024-03-02T00:00:00"/>
    <x v="1"/>
    <n v="10"/>
    <x v="0"/>
    <x v="1"/>
    <x v="1"/>
    <s v="Yes"/>
    <n v="20"/>
    <n v="2"/>
    <n v="28"/>
  </r>
  <r>
    <n v="3237"/>
    <x v="6"/>
    <x v="0"/>
    <d v="2024-03-03T00:00:00"/>
    <x v="0"/>
    <n v="15"/>
    <x v="2"/>
    <x v="0"/>
    <x v="0"/>
    <s v="Yes"/>
    <n v="20"/>
    <n v="10"/>
    <n v="55"/>
  </r>
  <r>
    <n v="3238"/>
    <x v="7"/>
    <x v="1"/>
    <d v="2024-03-04T00:00:00"/>
    <x v="0"/>
    <n v="5"/>
    <x v="1"/>
    <x v="1"/>
    <x v="1"/>
    <s v="No"/>
    <n v="0"/>
    <n v="0"/>
    <n v="5"/>
  </r>
  <r>
    <n v="3239"/>
    <x v="8"/>
    <x v="0"/>
    <d v="2024-03-05T00:00:00"/>
    <x v="1"/>
    <n v="15"/>
    <x v="0"/>
    <x v="0"/>
    <x v="0"/>
    <s v="Yes"/>
    <n v="20"/>
    <n v="5"/>
    <n v="60"/>
  </r>
  <r>
    <n v="3240"/>
    <x v="9"/>
    <x v="2"/>
    <d v="2024-03-06T00:00:00"/>
    <x v="0"/>
    <n v="10"/>
    <x v="2"/>
    <x v="1"/>
    <x v="1"/>
    <s v="Yes"/>
    <n v="20"/>
    <n v="15"/>
    <n v="15"/>
  </r>
  <r>
    <n v="3241"/>
    <x v="10"/>
    <x v="1"/>
    <d v="2024-03-07T00:00:00"/>
    <x v="1"/>
    <n v="5"/>
    <x v="0"/>
    <x v="1"/>
    <x v="1"/>
    <s v="No"/>
    <n v="0"/>
    <n v="1"/>
    <n v="4"/>
  </r>
  <r>
    <n v="3242"/>
    <x v="11"/>
    <x v="0"/>
    <d v="2024-03-08T00:00:00"/>
    <x v="0"/>
    <n v="15"/>
    <x v="1"/>
    <x v="0"/>
    <x v="0"/>
    <s v="Yes"/>
    <n v="20"/>
    <n v="20"/>
    <n v="45"/>
  </r>
  <r>
    <n v="3243"/>
    <x v="12"/>
    <x v="2"/>
    <d v="2024-03-09T00:00:00"/>
    <x v="1"/>
    <n v="10"/>
    <x v="0"/>
    <x v="1"/>
    <x v="1"/>
    <s v="Yes"/>
    <n v="20"/>
    <n v="10"/>
    <n v="20"/>
  </r>
  <r>
    <n v="3244"/>
    <x v="13"/>
    <x v="1"/>
    <d v="2024-03-10T00:00:00"/>
    <x v="0"/>
    <n v="5"/>
    <x v="2"/>
    <x v="1"/>
    <x v="1"/>
    <s v="No"/>
    <n v="0"/>
    <n v="0"/>
    <n v="5"/>
  </r>
  <r>
    <n v="3245"/>
    <x v="14"/>
    <x v="0"/>
    <d v="2024-03-11T00:00:00"/>
    <x v="1"/>
    <n v="15"/>
    <x v="0"/>
    <x v="0"/>
    <x v="0"/>
    <s v="Yes"/>
    <n v="20"/>
    <n v="8"/>
    <n v="57"/>
  </r>
  <r>
    <n v="3246"/>
    <x v="15"/>
    <x v="2"/>
    <d v="2024-03-12T00:00:00"/>
    <x v="0"/>
    <n v="10"/>
    <x v="1"/>
    <x v="1"/>
    <x v="1"/>
    <s v="Yes"/>
    <n v="20"/>
    <n v="12"/>
    <n v="18"/>
  </r>
  <r>
    <n v="3247"/>
    <x v="16"/>
    <x v="1"/>
    <d v="2024-03-13T00:00:00"/>
    <x v="1"/>
    <n v="5"/>
    <x v="0"/>
    <x v="1"/>
    <x v="1"/>
    <s v="No"/>
    <n v="0"/>
    <n v="2"/>
    <n v="3"/>
  </r>
  <r>
    <n v="3248"/>
    <x v="17"/>
    <x v="0"/>
    <d v="2024-03-14T00:00:00"/>
    <x v="0"/>
    <n v="15"/>
    <x v="2"/>
    <x v="0"/>
    <x v="0"/>
    <s v="Yes"/>
    <n v="20"/>
    <n v="7"/>
    <n v="58"/>
  </r>
  <r>
    <n v="3249"/>
    <x v="18"/>
    <x v="2"/>
    <d v="2024-03-15T00:00:00"/>
    <x v="1"/>
    <n v="10"/>
    <x v="0"/>
    <x v="1"/>
    <x v="1"/>
    <s v="Yes"/>
    <n v="20"/>
    <n v="5"/>
    <n v="25"/>
  </r>
  <r>
    <n v="3250"/>
    <x v="19"/>
    <x v="1"/>
    <d v="2024-03-16T00:00:00"/>
    <x v="0"/>
    <n v="5"/>
    <x v="1"/>
    <x v="1"/>
    <x v="1"/>
    <s v="No"/>
    <n v="0"/>
    <n v="0"/>
    <n v="5"/>
  </r>
  <r>
    <n v="3251"/>
    <x v="20"/>
    <x v="0"/>
    <d v="2024-03-17T00:00:00"/>
    <x v="1"/>
    <n v="15"/>
    <x v="0"/>
    <x v="0"/>
    <x v="0"/>
    <s v="Yes"/>
    <n v="20"/>
    <n v="3"/>
    <n v="62"/>
  </r>
  <r>
    <n v="3252"/>
    <x v="21"/>
    <x v="2"/>
    <d v="2024-03-18T00:00:00"/>
    <x v="0"/>
    <n v="10"/>
    <x v="2"/>
    <x v="1"/>
    <x v="1"/>
    <s v="Yes"/>
    <n v="20"/>
    <n v="15"/>
    <n v="15"/>
  </r>
  <r>
    <n v="3253"/>
    <x v="22"/>
    <x v="1"/>
    <d v="2024-03-19T00:00:00"/>
    <x v="1"/>
    <n v="5"/>
    <x v="0"/>
    <x v="1"/>
    <x v="1"/>
    <s v="No"/>
    <n v="0"/>
    <n v="1"/>
    <n v="4"/>
  </r>
  <r>
    <n v="3254"/>
    <x v="23"/>
    <x v="0"/>
    <d v="2024-03-20T00:00:00"/>
    <x v="0"/>
    <n v="15"/>
    <x v="1"/>
    <x v="0"/>
    <x v="0"/>
    <s v="Yes"/>
    <n v="20"/>
    <n v="20"/>
    <n v="45"/>
  </r>
  <r>
    <n v="3255"/>
    <x v="24"/>
    <x v="2"/>
    <d v="2024-03-21T00:00:00"/>
    <x v="1"/>
    <n v="10"/>
    <x v="0"/>
    <x v="1"/>
    <x v="1"/>
    <s v="Yes"/>
    <n v="20"/>
    <n v="10"/>
    <n v="20"/>
  </r>
  <r>
    <n v="3256"/>
    <x v="25"/>
    <x v="1"/>
    <d v="2024-03-22T00:00:00"/>
    <x v="0"/>
    <n v="5"/>
    <x v="2"/>
    <x v="1"/>
    <x v="1"/>
    <s v="No"/>
    <n v="0"/>
    <n v="0"/>
    <n v="5"/>
  </r>
  <r>
    <n v="3257"/>
    <x v="26"/>
    <x v="0"/>
    <d v="2024-03-23T00:00:00"/>
    <x v="1"/>
    <n v="15"/>
    <x v="0"/>
    <x v="0"/>
    <x v="0"/>
    <s v="Yes"/>
    <n v="20"/>
    <n v="5"/>
    <n v="60"/>
  </r>
  <r>
    <n v="3258"/>
    <x v="27"/>
    <x v="2"/>
    <d v="2024-03-24T00:00:00"/>
    <x v="0"/>
    <n v="10"/>
    <x v="1"/>
    <x v="1"/>
    <x v="1"/>
    <s v="Yes"/>
    <n v="20"/>
    <n v="15"/>
    <n v="15"/>
  </r>
  <r>
    <n v="3259"/>
    <x v="28"/>
    <x v="1"/>
    <d v="2024-03-25T00:00:00"/>
    <x v="1"/>
    <n v="5"/>
    <x v="0"/>
    <x v="1"/>
    <x v="1"/>
    <s v="No"/>
    <n v="0"/>
    <n v="1"/>
    <n v="4"/>
  </r>
  <r>
    <n v="3260"/>
    <x v="29"/>
    <x v="0"/>
    <d v="2024-03-26T00:00:00"/>
    <x v="0"/>
    <n v="15"/>
    <x v="2"/>
    <x v="0"/>
    <x v="0"/>
    <s v="Yes"/>
    <n v="20"/>
    <n v="7"/>
    <n v="58"/>
  </r>
  <r>
    <n v="3261"/>
    <x v="30"/>
    <x v="2"/>
    <d v="2024-03-27T00:00:00"/>
    <x v="1"/>
    <n v="10"/>
    <x v="0"/>
    <x v="1"/>
    <x v="1"/>
    <s v="Yes"/>
    <n v="20"/>
    <n v="10"/>
    <n v="20"/>
  </r>
  <r>
    <n v="3262"/>
    <x v="31"/>
    <x v="1"/>
    <d v="2024-03-28T00:00:00"/>
    <x v="0"/>
    <n v="5"/>
    <x v="1"/>
    <x v="1"/>
    <x v="1"/>
    <s v="No"/>
    <n v="0"/>
    <n v="0"/>
    <n v="5"/>
  </r>
  <r>
    <n v="3263"/>
    <x v="32"/>
    <x v="0"/>
    <d v="2024-03-29T00:00:00"/>
    <x v="1"/>
    <n v="15"/>
    <x v="0"/>
    <x v="0"/>
    <x v="0"/>
    <s v="Yes"/>
    <n v="20"/>
    <n v="3"/>
    <n v="62"/>
  </r>
  <r>
    <n v="3264"/>
    <x v="33"/>
    <x v="2"/>
    <d v="2024-03-30T00:00:00"/>
    <x v="0"/>
    <n v="10"/>
    <x v="2"/>
    <x v="1"/>
    <x v="1"/>
    <s v="Yes"/>
    <n v="20"/>
    <n v="15"/>
    <n v="15"/>
  </r>
  <r>
    <n v="3265"/>
    <x v="34"/>
    <x v="1"/>
    <d v="2024-03-31T00:00:00"/>
    <x v="1"/>
    <n v="5"/>
    <x v="0"/>
    <x v="1"/>
    <x v="1"/>
    <s v="No"/>
    <n v="0"/>
    <n v="1"/>
    <n v="4"/>
  </r>
  <r>
    <n v="3266"/>
    <x v="35"/>
    <x v="1"/>
    <d v="2024-04-01T00:00:00"/>
    <x v="0"/>
    <n v="5"/>
    <x v="0"/>
    <x v="1"/>
    <x v="1"/>
    <s v="No"/>
    <n v="0"/>
    <n v="0"/>
    <n v="5"/>
  </r>
  <r>
    <n v="3267"/>
    <x v="36"/>
    <x v="0"/>
    <d v="2024-04-02T00:00:00"/>
    <x v="1"/>
    <n v="15"/>
    <x v="2"/>
    <x v="0"/>
    <x v="0"/>
    <s v="Yes"/>
    <n v="20"/>
    <n v="7"/>
    <n v="58"/>
  </r>
  <r>
    <n v="3268"/>
    <x v="37"/>
    <x v="2"/>
    <d v="2024-04-03T00:00:00"/>
    <x v="0"/>
    <n v="10"/>
    <x v="1"/>
    <x v="1"/>
    <x v="1"/>
    <s v="Yes"/>
    <n v="20"/>
    <n v="10"/>
    <n v="20"/>
  </r>
  <r>
    <n v="3269"/>
    <x v="38"/>
    <x v="1"/>
    <d v="2024-04-04T00:00:00"/>
    <x v="1"/>
    <n v="5"/>
    <x v="2"/>
    <x v="1"/>
    <x v="1"/>
    <s v="No"/>
    <n v="0"/>
    <n v="1"/>
    <n v="4"/>
  </r>
  <r>
    <n v="3270"/>
    <x v="39"/>
    <x v="0"/>
    <d v="2024-04-05T00:00:00"/>
    <x v="0"/>
    <n v="15"/>
    <x v="0"/>
    <x v="0"/>
    <x v="0"/>
    <s v="Yes"/>
    <n v="20"/>
    <n v="15"/>
    <n v="50"/>
  </r>
  <r>
    <n v="3271"/>
    <x v="40"/>
    <x v="2"/>
    <d v="2024-04-06T00:00:00"/>
    <x v="1"/>
    <n v="10"/>
    <x v="0"/>
    <x v="1"/>
    <x v="1"/>
    <s v="Yes"/>
    <n v="20"/>
    <n v="5"/>
    <n v="25"/>
  </r>
  <r>
    <n v="3272"/>
    <x v="41"/>
    <x v="1"/>
    <d v="2024-04-07T00:00:00"/>
    <x v="0"/>
    <n v="5"/>
    <x v="1"/>
    <x v="1"/>
    <x v="1"/>
    <s v="No"/>
    <n v="0"/>
    <n v="0"/>
    <n v="5"/>
  </r>
  <r>
    <n v="3273"/>
    <x v="42"/>
    <x v="0"/>
    <d v="2024-04-08T00:00:00"/>
    <x v="1"/>
    <n v="15"/>
    <x v="2"/>
    <x v="0"/>
    <x v="0"/>
    <s v="Yes"/>
    <n v="20"/>
    <n v="20"/>
    <n v="45"/>
  </r>
  <r>
    <n v="3274"/>
    <x v="43"/>
    <x v="2"/>
    <d v="2024-04-09T00:00:00"/>
    <x v="0"/>
    <n v="10"/>
    <x v="2"/>
    <x v="1"/>
    <x v="1"/>
    <s v="Yes"/>
    <n v="20"/>
    <n v="12"/>
    <n v="18"/>
  </r>
  <r>
    <n v="3275"/>
    <x v="44"/>
    <x v="1"/>
    <d v="2024-04-10T00:00:00"/>
    <x v="1"/>
    <n v="5"/>
    <x v="0"/>
    <x v="1"/>
    <x v="1"/>
    <s v="No"/>
    <n v="0"/>
    <n v="2"/>
    <n v="3"/>
  </r>
  <r>
    <n v="3276"/>
    <x v="45"/>
    <x v="0"/>
    <d v="2024-04-11T00:00:00"/>
    <x v="0"/>
    <n v="15"/>
    <x v="1"/>
    <x v="0"/>
    <x v="0"/>
    <s v="Yes"/>
    <n v="20"/>
    <n v="5"/>
    <n v="60"/>
  </r>
  <r>
    <n v="3277"/>
    <x v="46"/>
    <x v="2"/>
    <d v="2024-04-12T00:00:00"/>
    <x v="1"/>
    <n v="10"/>
    <x v="0"/>
    <x v="1"/>
    <x v="1"/>
    <s v="Yes"/>
    <n v="20"/>
    <n v="10"/>
    <n v="20"/>
  </r>
  <r>
    <n v="3278"/>
    <x v="47"/>
    <x v="1"/>
    <d v="2024-04-13T00:00:00"/>
    <x v="0"/>
    <n v="5"/>
    <x v="2"/>
    <x v="1"/>
    <x v="1"/>
    <s v="No"/>
    <n v="0"/>
    <n v="0"/>
    <n v="5"/>
  </r>
  <r>
    <n v="3279"/>
    <x v="48"/>
    <x v="0"/>
    <d v="2024-04-14T00:00:00"/>
    <x v="1"/>
    <n v="15"/>
    <x v="0"/>
    <x v="0"/>
    <x v="0"/>
    <s v="Yes"/>
    <n v="20"/>
    <n v="3"/>
    <n v="62"/>
  </r>
  <r>
    <n v="3280"/>
    <x v="49"/>
    <x v="2"/>
    <d v="2024-04-15T00:00:00"/>
    <x v="0"/>
    <n v="10"/>
    <x v="1"/>
    <x v="1"/>
    <x v="1"/>
    <s v="Yes"/>
    <n v="20"/>
    <n v="15"/>
    <n v="15"/>
  </r>
  <r>
    <n v="3281"/>
    <x v="50"/>
    <x v="1"/>
    <d v="2024-04-16T00:00:00"/>
    <x v="1"/>
    <n v="5"/>
    <x v="0"/>
    <x v="1"/>
    <x v="1"/>
    <s v="No"/>
    <n v="0"/>
    <n v="1"/>
    <n v="4"/>
  </r>
  <r>
    <n v="3282"/>
    <x v="51"/>
    <x v="0"/>
    <d v="2024-04-17T00:00:00"/>
    <x v="0"/>
    <n v="15"/>
    <x v="2"/>
    <x v="0"/>
    <x v="0"/>
    <s v="Yes"/>
    <n v="20"/>
    <n v="7"/>
    <n v="58"/>
  </r>
  <r>
    <n v="3283"/>
    <x v="52"/>
    <x v="2"/>
    <d v="2024-04-18T00:00:00"/>
    <x v="1"/>
    <n v="10"/>
    <x v="0"/>
    <x v="1"/>
    <x v="1"/>
    <s v="Yes"/>
    <n v="20"/>
    <n v="10"/>
    <n v="20"/>
  </r>
  <r>
    <n v="3284"/>
    <x v="53"/>
    <x v="1"/>
    <d v="2024-04-19T00:00:00"/>
    <x v="0"/>
    <n v="5"/>
    <x v="1"/>
    <x v="1"/>
    <x v="1"/>
    <s v="No"/>
    <n v="0"/>
    <n v="0"/>
    <n v="5"/>
  </r>
  <r>
    <n v="3285"/>
    <x v="54"/>
    <x v="0"/>
    <d v="2024-04-20T00:00:00"/>
    <x v="1"/>
    <n v="15"/>
    <x v="0"/>
    <x v="0"/>
    <x v="0"/>
    <s v="Yes"/>
    <n v="20"/>
    <n v="20"/>
    <n v="45"/>
  </r>
  <r>
    <n v="3286"/>
    <x v="55"/>
    <x v="2"/>
    <d v="2024-04-21T00:00:00"/>
    <x v="0"/>
    <n v="10"/>
    <x v="2"/>
    <x v="1"/>
    <x v="1"/>
    <s v="Yes"/>
    <n v="20"/>
    <n v="15"/>
    <n v="15"/>
  </r>
  <r>
    <n v="3287"/>
    <x v="56"/>
    <x v="1"/>
    <d v="2024-04-22T00:00:00"/>
    <x v="1"/>
    <n v="5"/>
    <x v="0"/>
    <x v="1"/>
    <x v="1"/>
    <s v="No"/>
    <n v="0"/>
    <n v="1"/>
    <n v="4"/>
  </r>
  <r>
    <n v="3288"/>
    <x v="57"/>
    <x v="0"/>
    <d v="2024-04-23T00:00:00"/>
    <x v="0"/>
    <n v="15"/>
    <x v="1"/>
    <x v="0"/>
    <x v="0"/>
    <s v="Yes"/>
    <n v="20"/>
    <n v="3"/>
    <n v="62"/>
  </r>
  <r>
    <n v="3289"/>
    <x v="58"/>
    <x v="2"/>
    <d v="2024-04-24T00:00:00"/>
    <x v="1"/>
    <n v="10"/>
    <x v="0"/>
    <x v="1"/>
    <x v="1"/>
    <s v="Yes"/>
    <n v="20"/>
    <n v="10"/>
    <n v="20"/>
  </r>
  <r>
    <n v="3290"/>
    <x v="59"/>
    <x v="1"/>
    <d v="2024-04-25T00:00:00"/>
    <x v="0"/>
    <n v="5"/>
    <x v="2"/>
    <x v="1"/>
    <x v="1"/>
    <s v="No"/>
    <n v="0"/>
    <n v="0"/>
    <n v="5"/>
  </r>
  <r>
    <n v="3291"/>
    <x v="60"/>
    <x v="0"/>
    <d v="2024-04-26T00:00:00"/>
    <x v="1"/>
    <n v="15"/>
    <x v="0"/>
    <x v="0"/>
    <x v="0"/>
    <s v="Yes"/>
    <n v="20"/>
    <n v="5"/>
    <n v="60"/>
  </r>
  <r>
    <n v="3292"/>
    <x v="61"/>
    <x v="2"/>
    <d v="2024-04-27T00:00:00"/>
    <x v="0"/>
    <n v="10"/>
    <x v="1"/>
    <x v="1"/>
    <x v="1"/>
    <s v="Yes"/>
    <n v="20"/>
    <n v="15"/>
    <n v="15"/>
  </r>
  <r>
    <n v="3293"/>
    <x v="62"/>
    <x v="1"/>
    <d v="2024-04-28T00:00:00"/>
    <x v="1"/>
    <n v="5"/>
    <x v="0"/>
    <x v="1"/>
    <x v="1"/>
    <s v="No"/>
    <n v="0"/>
    <n v="1"/>
    <n v="4"/>
  </r>
  <r>
    <n v="3294"/>
    <x v="63"/>
    <x v="0"/>
    <d v="2024-04-29T00:00:00"/>
    <x v="0"/>
    <n v="15"/>
    <x v="2"/>
    <x v="0"/>
    <x v="0"/>
    <s v="Yes"/>
    <n v="20"/>
    <n v="20"/>
    <n v="45"/>
  </r>
  <r>
    <n v="3295"/>
    <x v="64"/>
    <x v="2"/>
    <d v="2024-04-30T00:00:00"/>
    <x v="1"/>
    <n v="10"/>
    <x v="0"/>
    <x v="1"/>
    <x v="1"/>
    <s v="Yes"/>
    <n v="20"/>
    <n v="5"/>
    <n v="25"/>
  </r>
  <r>
    <n v="3296"/>
    <x v="65"/>
    <x v="1"/>
    <d v="2024-05-01T00:00:00"/>
    <x v="1"/>
    <n v="5"/>
    <x v="0"/>
    <x v="1"/>
    <x v="1"/>
    <s v="No"/>
    <n v="0"/>
    <n v="0"/>
    <n v="5"/>
  </r>
  <r>
    <n v="3297"/>
    <x v="66"/>
    <x v="0"/>
    <d v="2024-05-02T00:00:00"/>
    <x v="0"/>
    <n v="15"/>
    <x v="2"/>
    <x v="0"/>
    <x v="0"/>
    <s v="Yes"/>
    <n v="20"/>
    <n v="7"/>
    <n v="58"/>
  </r>
  <r>
    <n v="3298"/>
    <x v="67"/>
    <x v="2"/>
    <d v="2024-05-03T00:00:00"/>
    <x v="1"/>
    <n v="10"/>
    <x v="1"/>
    <x v="1"/>
    <x v="1"/>
    <s v="Yes"/>
    <n v="20"/>
    <n v="10"/>
    <n v="20"/>
  </r>
  <r>
    <n v="3299"/>
    <x v="68"/>
    <x v="1"/>
    <d v="2024-05-04T00:00:00"/>
    <x v="0"/>
    <n v="5"/>
    <x v="2"/>
    <x v="1"/>
    <x v="1"/>
    <s v="No"/>
    <n v="0"/>
    <n v="1"/>
    <n v="4"/>
  </r>
  <r>
    <n v="3300"/>
    <x v="69"/>
    <x v="0"/>
    <d v="2024-05-05T00:00:00"/>
    <x v="1"/>
    <n v="15"/>
    <x v="0"/>
    <x v="0"/>
    <x v="0"/>
    <s v="Yes"/>
    <n v="20"/>
    <n v="15"/>
    <n v="50"/>
  </r>
  <r>
    <n v="3301"/>
    <x v="70"/>
    <x v="2"/>
    <d v="2024-05-06T00:00:00"/>
    <x v="0"/>
    <n v="10"/>
    <x v="0"/>
    <x v="1"/>
    <x v="1"/>
    <s v="Yes"/>
    <n v="20"/>
    <n v="5"/>
    <n v="25"/>
  </r>
  <r>
    <n v="3302"/>
    <x v="71"/>
    <x v="1"/>
    <d v="2024-05-07T00:00:00"/>
    <x v="1"/>
    <n v="5"/>
    <x v="1"/>
    <x v="1"/>
    <x v="1"/>
    <s v="No"/>
    <n v="0"/>
    <n v="0"/>
    <n v="5"/>
  </r>
  <r>
    <n v="3303"/>
    <x v="72"/>
    <x v="0"/>
    <d v="2024-05-08T00:00:00"/>
    <x v="0"/>
    <n v="15"/>
    <x v="2"/>
    <x v="0"/>
    <x v="0"/>
    <s v="Yes"/>
    <n v="20"/>
    <n v="20"/>
    <n v="45"/>
  </r>
  <r>
    <n v="3304"/>
    <x v="73"/>
    <x v="2"/>
    <d v="2024-05-09T00:00:00"/>
    <x v="1"/>
    <n v="10"/>
    <x v="2"/>
    <x v="1"/>
    <x v="1"/>
    <s v="Yes"/>
    <n v="20"/>
    <n v="12"/>
    <n v="18"/>
  </r>
  <r>
    <n v="3305"/>
    <x v="74"/>
    <x v="1"/>
    <d v="2024-05-10T00:00:00"/>
    <x v="0"/>
    <n v="5"/>
    <x v="0"/>
    <x v="1"/>
    <x v="1"/>
    <s v="No"/>
    <n v="0"/>
    <n v="2"/>
    <n v="3"/>
  </r>
  <r>
    <n v="3306"/>
    <x v="75"/>
    <x v="0"/>
    <d v="2024-05-11T00:00:00"/>
    <x v="1"/>
    <n v="15"/>
    <x v="1"/>
    <x v="0"/>
    <x v="0"/>
    <s v="Yes"/>
    <n v="20"/>
    <n v="5"/>
    <n v="60"/>
  </r>
  <r>
    <n v="3307"/>
    <x v="76"/>
    <x v="2"/>
    <d v="2024-05-12T00:00:00"/>
    <x v="0"/>
    <n v="10"/>
    <x v="0"/>
    <x v="1"/>
    <x v="1"/>
    <s v="Yes"/>
    <n v="20"/>
    <n v="10"/>
    <n v="20"/>
  </r>
  <r>
    <n v="3308"/>
    <x v="77"/>
    <x v="1"/>
    <d v="2024-05-13T00:00:00"/>
    <x v="1"/>
    <n v="5"/>
    <x v="2"/>
    <x v="1"/>
    <x v="1"/>
    <s v="No"/>
    <n v="0"/>
    <n v="0"/>
    <n v="5"/>
  </r>
  <r>
    <n v="3309"/>
    <x v="78"/>
    <x v="0"/>
    <d v="2024-05-14T00:00:00"/>
    <x v="0"/>
    <n v="15"/>
    <x v="0"/>
    <x v="0"/>
    <x v="0"/>
    <s v="Yes"/>
    <n v="20"/>
    <n v="3"/>
    <n v="62"/>
  </r>
  <r>
    <n v="3310"/>
    <x v="79"/>
    <x v="2"/>
    <d v="2024-05-15T00:00:00"/>
    <x v="1"/>
    <n v="10"/>
    <x v="1"/>
    <x v="1"/>
    <x v="1"/>
    <s v="Yes"/>
    <n v="20"/>
    <n v="15"/>
    <n v="15"/>
  </r>
  <r>
    <n v="3311"/>
    <x v="80"/>
    <x v="1"/>
    <d v="2024-05-16T00:00:00"/>
    <x v="0"/>
    <n v="5"/>
    <x v="0"/>
    <x v="1"/>
    <x v="1"/>
    <s v="No"/>
    <n v="0"/>
    <n v="1"/>
    <n v="4"/>
  </r>
  <r>
    <n v="3312"/>
    <x v="81"/>
    <x v="0"/>
    <d v="2024-05-17T00:00:00"/>
    <x v="1"/>
    <n v="15"/>
    <x v="2"/>
    <x v="0"/>
    <x v="0"/>
    <s v="Yes"/>
    <n v="20"/>
    <n v="7"/>
    <n v="58"/>
  </r>
  <r>
    <n v="3313"/>
    <x v="82"/>
    <x v="2"/>
    <d v="2024-05-18T00:00:00"/>
    <x v="0"/>
    <n v="10"/>
    <x v="0"/>
    <x v="1"/>
    <x v="1"/>
    <s v="Yes"/>
    <n v="20"/>
    <n v="10"/>
    <n v="20"/>
  </r>
  <r>
    <n v="3314"/>
    <x v="83"/>
    <x v="1"/>
    <d v="2024-05-19T00:00:00"/>
    <x v="1"/>
    <n v="5"/>
    <x v="1"/>
    <x v="1"/>
    <x v="1"/>
    <s v="No"/>
    <n v="0"/>
    <n v="0"/>
    <n v="5"/>
  </r>
  <r>
    <n v="3315"/>
    <x v="84"/>
    <x v="0"/>
    <d v="2024-05-20T00:00:00"/>
    <x v="0"/>
    <n v="15"/>
    <x v="0"/>
    <x v="0"/>
    <x v="0"/>
    <s v="Yes"/>
    <n v="20"/>
    <n v="20"/>
    <n v="45"/>
  </r>
  <r>
    <n v="3316"/>
    <x v="85"/>
    <x v="2"/>
    <d v="2024-05-21T00:00:00"/>
    <x v="1"/>
    <n v="10"/>
    <x v="2"/>
    <x v="1"/>
    <x v="1"/>
    <s v="Yes"/>
    <n v="20"/>
    <n v="15"/>
    <n v="15"/>
  </r>
  <r>
    <n v="3317"/>
    <x v="86"/>
    <x v="1"/>
    <d v="2024-05-22T00:00:00"/>
    <x v="0"/>
    <n v="5"/>
    <x v="0"/>
    <x v="1"/>
    <x v="1"/>
    <s v="No"/>
    <n v="0"/>
    <n v="1"/>
    <n v="4"/>
  </r>
  <r>
    <n v="3318"/>
    <x v="87"/>
    <x v="0"/>
    <d v="2024-05-23T00:00:00"/>
    <x v="1"/>
    <n v="15"/>
    <x v="1"/>
    <x v="0"/>
    <x v="0"/>
    <s v="Yes"/>
    <n v="20"/>
    <n v="3"/>
    <n v="62"/>
  </r>
  <r>
    <n v="3319"/>
    <x v="88"/>
    <x v="2"/>
    <d v="2024-05-24T00:00:00"/>
    <x v="0"/>
    <n v="10"/>
    <x v="0"/>
    <x v="1"/>
    <x v="1"/>
    <s v="Yes"/>
    <n v="20"/>
    <n v="10"/>
    <n v="20"/>
  </r>
  <r>
    <n v="3320"/>
    <x v="89"/>
    <x v="1"/>
    <d v="2024-05-25T00:00:00"/>
    <x v="1"/>
    <n v="5"/>
    <x v="2"/>
    <x v="1"/>
    <x v="1"/>
    <s v="No"/>
    <n v="0"/>
    <n v="0"/>
    <n v="5"/>
  </r>
  <r>
    <n v="3321"/>
    <x v="90"/>
    <x v="0"/>
    <d v="2024-05-26T00:00:00"/>
    <x v="0"/>
    <n v="15"/>
    <x v="0"/>
    <x v="0"/>
    <x v="0"/>
    <s v="Yes"/>
    <n v="20"/>
    <n v="5"/>
    <n v="60"/>
  </r>
  <r>
    <n v="3322"/>
    <x v="91"/>
    <x v="2"/>
    <d v="2024-05-27T00:00:00"/>
    <x v="1"/>
    <n v="10"/>
    <x v="1"/>
    <x v="1"/>
    <x v="1"/>
    <s v="Yes"/>
    <n v="20"/>
    <n v="15"/>
    <n v="15"/>
  </r>
  <r>
    <n v="3323"/>
    <x v="92"/>
    <x v="1"/>
    <d v="2024-05-28T00:00:00"/>
    <x v="0"/>
    <n v="5"/>
    <x v="0"/>
    <x v="1"/>
    <x v="1"/>
    <s v="No"/>
    <n v="0"/>
    <n v="1"/>
    <n v="4"/>
  </r>
  <r>
    <n v="3324"/>
    <x v="93"/>
    <x v="0"/>
    <d v="2024-05-29T00:00:00"/>
    <x v="1"/>
    <n v="15"/>
    <x v="2"/>
    <x v="0"/>
    <x v="0"/>
    <s v="Yes"/>
    <n v="20"/>
    <n v="20"/>
    <n v="45"/>
  </r>
  <r>
    <n v="3325"/>
    <x v="94"/>
    <x v="2"/>
    <d v="2024-05-30T00:00:00"/>
    <x v="0"/>
    <n v="10"/>
    <x v="2"/>
    <x v="1"/>
    <x v="1"/>
    <s v="Yes"/>
    <n v="20"/>
    <n v="15"/>
    <n v="15"/>
  </r>
  <r>
    <n v="3326"/>
    <x v="95"/>
    <x v="1"/>
    <d v="2024-05-31T00:00:00"/>
    <x v="1"/>
    <n v="5"/>
    <x v="1"/>
    <x v="1"/>
    <x v="1"/>
    <s v="No"/>
    <n v="0"/>
    <n v="0"/>
    <n v="5"/>
  </r>
  <r>
    <n v="3327"/>
    <x v="96"/>
    <x v="0"/>
    <d v="2024-06-01T00:00:00"/>
    <x v="0"/>
    <n v="15"/>
    <x v="0"/>
    <x v="0"/>
    <x v="0"/>
    <s v="Yes"/>
    <n v="20"/>
    <n v="7"/>
    <n v="58"/>
  </r>
  <r>
    <n v="3328"/>
    <x v="97"/>
    <x v="2"/>
    <d v="2024-06-02T00:00:00"/>
    <x v="1"/>
    <n v="10"/>
    <x v="1"/>
    <x v="1"/>
    <x v="1"/>
    <s v="Yes"/>
    <n v="20"/>
    <n v="10"/>
    <n v="20"/>
  </r>
  <r>
    <n v="3329"/>
    <x v="98"/>
    <x v="1"/>
    <d v="2024-06-03T00:00:00"/>
    <x v="0"/>
    <n v="5"/>
    <x v="2"/>
    <x v="1"/>
    <x v="1"/>
    <s v="No"/>
    <n v="0"/>
    <n v="1"/>
    <n v="4"/>
  </r>
  <r>
    <n v="3330"/>
    <x v="99"/>
    <x v="0"/>
    <d v="2024-06-04T00:00:00"/>
    <x v="1"/>
    <n v="15"/>
    <x v="0"/>
    <x v="0"/>
    <x v="0"/>
    <s v="Yes"/>
    <n v="20"/>
    <n v="15"/>
    <n v="50"/>
  </r>
  <r>
    <n v="3331"/>
    <x v="100"/>
    <x v="2"/>
    <d v="2024-06-05T00:00:00"/>
    <x v="0"/>
    <n v="10"/>
    <x v="0"/>
    <x v="1"/>
    <x v="1"/>
    <s v="Yes"/>
    <n v="20"/>
    <n v="5"/>
    <n v="25"/>
  </r>
  <r>
    <n v="3332"/>
    <x v="101"/>
    <x v="1"/>
    <d v="2024-06-06T00:00:00"/>
    <x v="1"/>
    <n v="5"/>
    <x v="1"/>
    <x v="1"/>
    <x v="1"/>
    <s v="No"/>
    <n v="0"/>
    <n v="0"/>
    <n v="5"/>
  </r>
  <r>
    <n v="3333"/>
    <x v="102"/>
    <x v="0"/>
    <d v="2024-06-07T00:00:00"/>
    <x v="0"/>
    <n v="15"/>
    <x v="2"/>
    <x v="0"/>
    <x v="0"/>
    <s v="Yes"/>
    <n v="20"/>
    <n v="20"/>
    <n v="45"/>
  </r>
  <r>
    <n v="3334"/>
    <x v="103"/>
    <x v="2"/>
    <d v="2024-06-08T00:00:00"/>
    <x v="1"/>
    <n v="10"/>
    <x v="2"/>
    <x v="1"/>
    <x v="1"/>
    <s v="Yes"/>
    <n v="20"/>
    <n v="12"/>
    <n v="18"/>
  </r>
  <r>
    <n v="3335"/>
    <x v="104"/>
    <x v="1"/>
    <d v="2024-06-09T00:00:00"/>
    <x v="0"/>
    <n v="5"/>
    <x v="0"/>
    <x v="1"/>
    <x v="1"/>
    <s v="No"/>
    <n v="0"/>
    <n v="2"/>
    <n v="3"/>
  </r>
  <r>
    <n v="3336"/>
    <x v="105"/>
    <x v="1"/>
    <d v="2024-06-10T00:00:00"/>
    <x v="0"/>
    <n v="5"/>
    <x v="0"/>
    <x v="1"/>
    <x v="1"/>
    <s v="No"/>
    <n v="0"/>
    <n v="0"/>
    <n v="5"/>
  </r>
  <r>
    <n v="3337"/>
    <x v="106"/>
    <x v="0"/>
    <d v="2024-06-11T00:00:00"/>
    <x v="1"/>
    <n v="15"/>
    <x v="2"/>
    <x v="0"/>
    <x v="0"/>
    <s v="Yes"/>
    <n v="20"/>
    <n v="7"/>
    <n v="58"/>
  </r>
  <r>
    <n v="3338"/>
    <x v="107"/>
    <x v="2"/>
    <d v="2024-06-12T00:00:00"/>
    <x v="0"/>
    <n v="10"/>
    <x v="1"/>
    <x v="1"/>
    <x v="1"/>
    <s v="Yes"/>
    <n v="20"/>
    <n v="10"/>
    <n v="20"/>
  </r>
  <r>
    <n v="3339"/>
    <x v="108"/>
    <x v="1"/>
    <d v="2024-06-13T00:00:00"/>
    <x v="1"/>
    <n v="5"/>
    <x v="2"/>
    <x v="1"/>
    <x v="1"/>
    <s v="No"/>
    <n v="0"/>
    <n v="1"/>
    <n v="4"/>
  </r>
  <r>
    <n v="3340"/>
    <x v="109"/>
    <x v="0"/>
    <d v="2024-06-14T00:00:00"/>
    <x v="0"/>
    <n v="15"/>
    <x v="0"/>
    <x v="0"/>
    <x v="0"/>
    <s v="Yes"/>
    <n v="20"/>
    <n v="15"/>
    <n v="50"/>
  </r>
  <r>
    <n v="3341"/>
    <x v="110"/>
    <x v="2"/>
    <d v="2024-06-15T00:00:00"/>
    <x v="1"/>
    <n v="10"/>
    <x v="0"/>
    <x v="1"/>
    <x v="1"/>
    <s v="Yes"/>
    <n v="20"/>
    <n v="5"/>
    <n v="25"/>
  </r>
  <r>
    <n v="3342"/>
    <x v="111"/>
    <x v="1"/>
    <d v="2024-06-16T00:00:00"/>
    <x v="0"/>
    <n v="5"/>
    <x v="1"/>
    <x v="1"/>
    <x v="1"/>
    <s v="No"/>
    <n v="0"/>
    <n v="0"/>
    <n v="5"/>
  </r>
  <r>
    <n v="3343"/>
    <x v="112"/>
    <x v="0"/>
    <d v="2024-06-17T00:00:00"/>
    <x v="1"/>
    <n v="15"/>
    <x v="2"/>
    <x v="0"/>
    <x v="0"/>
    <s v="Yes"/>
    <n v="20"/>
    <n v="20"/>
    <n v="45"/>
  </r>
  <r>
    <n v="3344"/>
    <x v="113"/>
    <x v="2"/>
    <d v="2024-06-18T00:00:00"/>
    <x v="0"/>
    <n v="10"/>
    <x v="2"/>
    <x v="1"/>
    <x v="1"/>
    <s v="Yes"/>
    <n v="20"/>
    <n v="12"/>
    <n v="18"/>
  </r>
  <r>
    <n v="3345"/>
    <x v="114"/>
    <x v="1"/>
    <d v="2024-06-19T00:00:00"/>
    <x v="1"/>
    <n v="5"/>
    <x v="0"/>
    <x v="1"/>
    <x v="1"/>
    <s v="No"/>
    <n v="0"/>
    <n v="2"/>
    <n v="3"/>
  </r>
  <r>
    <n v="3346"/>
    <x v="115"/>
    <x v="0"/>
    <d v="2024-06-20T00:00:00"/>
    <x v="0"/>
    <n v="15"/>
    <x v="1"/>
    <x v="0"/>
    <x v="0"/>
    <s v="Yes"/>
    <n v="20"/>
    <n v="5"/>
    <n v="60"/>
  </r>
  <r>
    <n v="3347"/>
    <x v="116"/>
    <x v="2"/>
    <d v="2024-06-21T00:00:00"/>
    <x v="1"/>
    <n v="10"/>
    <x v="0"/>
    <x v="1"/>
    <x v="1"/>
    <s v="Yes"/>
    <n v="20"/>
    <n v="10"/>
    <n v="20"/>
  </r>
  <r>
    <n v="3348"/>
    <x v="117"/>
    <x v="1"/>
    <d v="2024-06-22T00:00:00"/>
    <x v="0"/>
    <n v="5"/>
    <x v="2"/>
    <x v="1"/>
    <x v="1"/>
    <s v="No"/>
    <n v="0"/>
    <n v="0"/>
    <n v="5"/>
  </r>
  <r>
    <n v="3349"/>
    <x v="93"/>
    <x v="0"/>
    <d v="2024-06-23T00:00:00"/>
    <x v="1"/>
    <n v="15"/>
    <x v="0"/>
    <x v="0"/>
    <x v="0"/>
    <s v="Yes"/>
    <n v="20"/>
    <n v="3"/>
    <n v="62"/>
  </r>
  <r>
    <n v="3350"/>
    <x v="118"/>
    <x v="2"/>
    <d v="2024-06-24T00:00:00"/>
    <x v="0"/>
    <n v="10"/>
    <x v="1"/>
    <x v="1"/>
    <x v="1"/>
    <s v="Yes"/>
    <n v="20"/>
    <n v="15"/>
    <n v="15"/>
  </r>
  <r>
    <n v="3351"/>
    <x v="119"/>
    <x v="1"/>
    <d v="2024-06-25T00:00:00"/>
    <x v="1"/>
    <n v="5"/>
    <x v="0"/>
    <x v="1"/>
    <x v="1"/>
    <s v="No"/>
    <n v="0"/>
    <n v="1"/>
    <n v="4"/>
  </r>
  <r>
    <n v="3352"/>
    <x v="120"/>
    <x v="0"/>
    <d v="2024-06-26T00:00:00"/>
    <x v="0"/>
    <n v="15"/>
    <x v="2"/>
    <x v="0"/>
    <x v="0"/>
    <s v="Yes"/>
    <n v="20"/>
    <n v="7"/>
    <n v="58"/>
  </r>
  <r>
    <n v="3353"/>
    <x v="121"/>
    <x v="2"/>
    <d v="2024-06-27T00:00:00"/>
    <x v="1"/>
    <n v="10"/>
    <x v="0"/>
    <x v="1"/>
    <x v="1"/>
    <s v="Yes"/>
    <n v="20"/>
    <n v="10"/>
    <n v="20"/>
  </r>
  <r>
    <n v="3354"/>
    <x v="122"/>
    <x v="1"/>
    <d v="2024-06-28T00:00:00"/>
    <x v="0"/>
    <n v="5"/>
    <x v="1"/>
    <x v="1"/>
    <x v="1"/>
    <s v="No"/>
    <n v="0"/>
    <n v="0"/>
    <n v="5"/>
  </r>
  <r>
    <n v="3355"/>
    <x v="123"/>
    <x v="0"/>
    <d v="2024-06-29T00:00:00"/>
    <x v="1"/>
    <n v="15"/>
    <x v="0"/>
    <x v="0"/>
    <x v="0"/>
    <s v="Yes"/>
    <n v="20"/>
    <n v="20"/>
    <n v="45"/>
  </r>
  <r>
    <n v="3356"/>
    <x v="124"/>
    <x v="2"/>
    <d v="2024-06-30T00:00:00"/>
    <x v="0"/>
    <n v="10"/>
    <x v="2"/>
    <x v="1"/>
    <x v="1"/>
    <s v="Yes"/>
    <n v="20"/>
    <n v="15"/>
    <n v="15"/>
  </r>
  <r>
    <n v="3357"/>
    <x v="125"/>
    <x v="1"/>
    <d v="2024-07-01T00:00:00"/>
    <x v="1"/>
    <n v="5"/>
    <x v="0"/>
    <x v="1"/>
    <x v="1"/>
    <s v="No"/>
    <n v="0"/>
    <n v="1"/>
    <n v="4"/>
  </r>
  <r>
    <n v="3358"/>
    <x v="126"/>
    <x v="0"/>
    <d v="2024-07-02T00:00:00"/>
    <x v="0"/>
    <n v="15"/>
    <x v="1"/>
    <x v="0"/>
    <x v="0"/>
    <s v="Yes"/>
    <n v="20"/>
    <n v="3"/>
    <n v="62"/>
  </r>
  <r>
    <n v="3359"/>
    <x v="127"/>
    <x v="2"/>
    <d v="2024-07-03T00:00:00"/>
    <x v="1"/>
    <n v="10"/>
    <x v="0"/>
    <x v="1"/>
    <x v="1"/>
    <s v="Yes"/>
    <n v="20"/>
    <n v="10"/>
    <n v="20"/>
  </r>
  <r>
    <n v="3360"/>
    <x v="128"/>
    <x v="1"/>
    <d v="2024-07-04T00:00:00"/>
    <x v="0"/>
    <n v="5"/>
    <x v="2"/>
    <x v="1"/>
    <x v="1"/>
    <s v="No"/>
    <n v="0"/>
    <n v="0"/>
    <n v="5"/>
  </r>
  <r>
    <n v="3361"/>
    <x v="129"/>
    <x v="0"/>
    <d v="2024-07-05T00:00:00"/>
    <x v="1"/>
    <n v="15"/>
    <x v="0"/>
    <x v="0"/>
    <x v="0"/>
    <s v="Yes"/>
    <n v="20"/>
    <n v="15"/>
    <n v="50"/>
  </r>
  <r>
    <n v="3362"/>
    <x v="130"/>
    <x v="2"/>
    <d v="2024-07-06T00:00:00"/>
    <x v="0"/>
    <n v="10"/>
    <x v="1"/>
    <x v="1"/>
    <x v="1"/>
    <s v="Yes"/>
    <n v="20"/>
    <n v="15"/>
    <n v="15"/>
  </r>
  <r>
    <n v="3363"/>
    <x v="131"/>
    <x v="1"/>
    <d v="2024-07-07T00:00:00"/>
    <x v="1"/>
    <n v="5"/>
    <x v="0"/>
    <x v="1"/>
    <x v="1"/>
    <s v="No"/>
    <n v="0"/>
    <n v="1"/>
    <n v="4"/>
  </r>
  <r>
    <n v="3364"/>
    <x v="132"/>
    <x v="0"/>
    <d v="2024-07-08T00:00:00"/>
    <x v="0"/>
    <n v="15"/>
    <x v="2"/>
    <x v="0"/>
    <x v="0"/>
    <s v="Yes"/>
    <n v="20"/>
    <n v="7"/>
    <n v="58"/>
  </r>
  <r>
    <n v="3365"/>
    <x v="133"/>
    <x v="2"/>
    <d v="2024-07-09T00:00:00"/>
    <x v="1"/>
    <n v="10"/>
    <x v="0"/>
    <x v="1"/>
    <x v="1"/>
    <s v="Yes"/>
    <n v="20"/>
    <n v="10"/>
    <n v="20"/>
  </r>
  <r>
    <n v="3366"/>
    <x v="134"/>
    <x v="1"/>
    <d v="2024-07-10T00:00:00"/>
    <x v="0"/>
    <n v="5"/>
    <x v="0"/>
    <x v="1"/>
    <x v="1"/>
    <s v="No"/>
    <n v="0"/>
    <n v="0"/>
    <n v="5"/>
  </r>
  <r>
    <n v="3367"/>
    <x v="135"/>
    <x v="0"/>
    <d v="2024-07-11T00:00:00"/>
    <x v="1"/>
    <n v="15"/>
    <x v="2"/>
    <x v="0"/>
    <x v="0"/>
    <s v="Yes"/>
    <n v="20"/>
    <n v="7"/>
    <n v="58"/>
  </r>
  <r>
    <n v="3368"/>
    <x v="136"/>
    <x v="2"/>
    <d v="2024-07-12T00:00:00"/>
    <x v="0"/>
    <n v="10"/>
    <x v="1"/>
    <x v="1"/>
    <x v="1"/>
    <s v="Yes"/>
    <n v="20"/>
    <n v="10"/>
    <n v="20"/>
  </r>
  <r>
    <n v="3369"/>
    <x v="137"/>
    <x v="1"/>
    <d v="2024-07-13T00:00:00"/>
    <x v="1"/>
    <n v="5"/>
    <x v="2"/>
    <x v="1"/>
    <x v="1"/>
    <s v="No"/>
    <n v="0"/>
    <n v="1"/>
    <n v="4"/>
  </r>
  <r>
    <n v="3370"/>
    <x v="138"/>
    <x v="0"/>
    <d v="2024-07-14T00:00:00"/>
    <x v="0"/>
    <n v="15"/>
    <x v="0"/>
    <x v="0"/>
    <x v="0"/>
    <s v="Yes"/>
    <n v="20"/>
    <n v="15"/>
    <n v="50"/>
  </r>
  <r>
    <n v="3371"/>
    <x v="139"/>
    <x v="2"/>
    <d v="2024-07-15T00:00:00"/>
    <x v="1"/>
    <n v="10"/>
    <x v="0"/>
    <x v="1"/>
    <x v="1"/>
    <s v="Yes"/>
    <n v="20"/>
    <n v="5"/>
    <n v="25"/>
  </r>
  <r>
    <n v="3372"/>
    <x v="140"/>
    <x v="1"/>
    <d v="2024-07-16T00:00:00"/>
    <x v="0"/>
    <n v="5"/>
    <x v="1"/>
    <x v="1"/>
    <x v="1"/>
    <s v="No"/>
    <n v="0"/>
    <n v="0"/>
    <n v="5"/>
  </r>
  <r>
    <n v="3373"/>
    <x v="141"/>
    <x v="0"/>
    <d v="2024-07-17T00:00:00"/>
    <x v="1"/>
    <n v="15"/>
    <x v="2"/>
    <x v="0"/>
    <x v="0"/>
    <s v="Yes"/>
    <n v="20"/>
    <n v="20"/>
    <n v="45"/>
  </r>
  <r>
    <n v="3374"/>
    <x v="142"/>
    <x v="2"/>
    <d v="2024-07-18T00:00:00"/>
    <x v="0"/>
    <n v="10"/>
    <x v="2"/>
    <x v="1"/>
    <x v="1"/>
    <s v="Yes"/>
    <n v="20"/>
    <n v="12"/>
    <n v="18"/>
  </r>
  <r>
    <n v="3375"/>
    <x v="143"/>
    <x v="1"/>
    <d v="2024-07-19T00:00:00"/>
    <x v="1"/>
    <n v="5"/>
    <x v="0"/>
    <x v="1"/>
    <x v="1"/>
    <s v="No"/>
    <n v="0"/>
    <n v="2"/>
    <n v="3"/>
  </r>
  <r>
    <n v="3376"/>
    <x v="144"/>
    <x v="0"/>
    <d v="2024-07-20T00:00:00"/>
    <x v="0"/>
    <n v="15"/>
    <x v="1"/>
    <x v="0"/>
    <x v="0"/>
    <s v="Yes"/>
    <n v="20"/>
    <n v="5"/>
    <n v="60"/>
  </r>
  <r>
    <n v="3377"/>
    <x v="145"/>
    <x v="2"/>
    <d v="2024-07-21T00:00:00"/>
    <x v="1"/>
    <n v="10"/>
    <x v="0"/>
    <x v="1"/>
    <x v="1"/>
    <s v="Yes"/>
    <n v="20"/>
    <n v="10"/>
    <n v="20"/>
  </r>
  <r>
    <n v="3378"/>
    <x v="146"/>
    <x v="1"/>
    <d v="2024-07-22T00:00:00"/>
    <x v="0"/>
    <n v="5"/>
    <x v="2"/>
    <x v="1"/>
    <x v="1"/>
    <s v="No"/>
    <n v="0"/>
    <n v="0"/>
    <n v="5"/>
  </r>
  <r>
    <n v="3379"/>
    <x v="147"/>
    <x v="0"/>
    <d v="2024-07-23T00:00:00"/>
    <x v="1"/>
    <n v="15"/>
    <x v="0"/>
    <x v="0"/>
    <x v="0"/>
    <s v="Yes"/>
    <n v="20"/>
    <n v="3"/>
    <n v="62"/>
  </r>
  <r>
    <n v="3380"/>
    <x v="148"/>
    <x v="2"/>
    <d v="2024-07-24T00:00:00"/>
    <x v="0"/>
    <n v="10"/>
    <x v="1"/>
    <x v="1"/>
    <x v="1"/>
    <s v="Yes"/>
    <n v="20"/>
    <n v="15"/>
    <n v="15"/>
  </r>
  <r>
    <n v="3381"/>
    <x v="149"/>
    <x v="1"/>
    <d v="2024-07-25T00:00:00"/>
    <x v="1"/>
    <n v="5"/>
    <x v="0"/>
    <x v="1"/>
    <x v="1"/>
    <s v="No"/>
    <n v="0"/>
    <n v="1"/>
    <n v="4"/>
  </r>
  <r>
    <n v="3382"/>
    <x v="150"/>
    <x v="0"/>
    <d v="2024-07-26T00:00:00"/>
    <x v="0"/>
    <n v="15"/>
    <x v="2"/>
    <x v="0"/>
    <x v="0"/>
    <s v="Yes"/>
    <n v="20"/>
    <n v="7"/>
    <n v="58"/>
  </r>
  <r>
    <n v="3383"/>
    <x v="151"/>
    <x v="2"/>
    <d v="2024-07-27T00:00:00"/>
    <x v="1"/>
    <n v="10"/>
    <x v="0"/>
    <x v="1"/>
    <x v="1"/>
    <s v="Yes"/>
    <n v="20"/>
    <n v="10"/>
    <n v="20"/>
  </r>
  <r>
    <n v="3384"/>
    <x v="152"/>
    <x v="1"/>
    <d v="2024-07-28T00:00:00"/>
    <x v="0"/>
    <n v="5"/>
    <x v="1"/>
    <x v="1"/>
    <x v="1"/>
    <s v="No"/>
    <n v="0"/>
    <n v="0"/>
    <n v="5"/>
  </r>
  <r>
    <n v="3385"/>
    <x v="153"/>
    <x v="0"/>
    <d v="2024-07-29T00:00:00"/>
    <x v="1"/>
    <n v="15"/>
    <x v="0"/>
    <x v="0"/>
    <x v="0"/>
    <s v="Yes"/>
    <n v="20"/>
    <n v="20"/>
    <n v="45"/>
  </r>
  <r>
    <n v="3386"/>
    <x v="154"/>
    <x v="2"/>
    <d v="2024-07-30T00:00:00"/>
    <x v="0"/>
    <n v="10"/>
    <x v="2"/>
    <x v="1"/>
    <x v="1"/>
    <s v="Yes"/>
    <n v="20"/>
    <n v="15"/>
    <n v="15"/>
  </r>
  <r>
    <n v="3387"/>
    <x v="155"/>
    <x v="1"/>
    <d v="2024-07-31T00:00:00"/>
    <x v="1"/>
    <n v="5"/>
    <x v="0"/>
    <x v="1"/>
    <x v="1"/>
    <s v="No"/>
    <n v="0"/>
    <n v="1"/>
    <n v="4"/>
  </r>
  <r>
    <n v="3388"/>
    <x v="156"/>
    <x v="0"/>
    <d v="2024-08-01T00:00:00"/>
    <x v="0"/>
    <n v="15"/>
    <x v="1"/>
    <x v="0"/>
    <x v="0"/>
    <s v="Yes"/>
    <n v="20"/>
    <n v="3"/>
    <n v="62"/>
  </r>
  <r>
    <n v="3389"/>
    <x v="157"/>
    <x v="2"/>
    <d v="2024-08-02T00:00:00"/>
    <x v="1"/>
    <n v="10"/>
    <x v="0"/>
    <x v="1"/>
    <x v="1"/>
    <s v="Yes"/>
    <n v="20"/>
    <n v="10"/>
    <n v="20"/>
  </r>
  <r>
    <n v="3390"/>
    <x v="158"/>
    <x v="1"/>
    <d v="2024-08-03T00:00:00"/>
    <x v="0"/>
    <n v="5"/>
    <x v="2"/>
    <x v="1"/>
    <x v="1"/>
    <s v="No"/>
    <n v="0"/>
    <n v="0"/>
    <n v="5"/>
  </r>
  <r>
    <n v="3391"/>
    <x v="58"/>
    <x v="0"/>
    <d v="2024-08-04T00:00:00"/>
    <x v="1"/>
    <n v="15"/>
    <x v="0"/>
    <x v="0"/>
    <x v="0"/>
    <s v="Yes"/>
    <n v="20"/>
    <n v="15"/>
    <n v="50"/>
  </r>
  <r>
    <n v="3392"/>
    <x v="159"/>
    <x v="2"/>
    <d v="2024-08-05T00:00:00"/>
    <x v="0"/>
    <n v="10"/>
    <x v="1"/>
    <x v="1"/>
    <x v="1"/>
    <s v="Yes"/>
    <n v="20"/>
    <n v="15"/>
    <n v="15"/>
  </r>
  <r>
    <n v="3393"/>
    <x v="160"/>
    <x v="1"/>
    <d v="2024-08-06T00:00:00"/>
    <x v="1"/>
    <n v="5"/>
    <x v="0"/>
    <x v="1"/>
    <x v="1"/>
    <s v="No"/>
    <n v="0"/>
    <n v="1"/>
    <n v="4"/>
  </r>
  <r>
    <n v="3394"/>
    <x v="161"/>
    <x v="0"/>
    <d v="2024-08-07T00:00:00"/>
    <x v="0"/>
    <n v="15"/>
    <x v="2"/>
    <x v="0"/>
    <x v="0"/>
    <s v="Yes"/>
    <n v="20"/>
    <n v="7"/>
    <n v="58"/>
  </r>
  <r>
    <n v="3395"/>
    <x v="162"/>
    <x v="2"/>
    <d v="2024-08-08T00:00:00"/>
    <x v="1"/>
    <n v="10"/>
    <x v="0"/>
    <x v="1"/>
    <x v="1"/>
    <s v="Yes"/>
    <n v="20"/>
    <n v="10"/>
    <n v="20"/>
  </r>
  <r>
    <n v="3396"/>
    <x v="163"/>
    <x v="1"/>
    <d v="2024-08-09T00:00:00"/>
    <x v="0"/>
    <n v="5"/>
    <x v="1"/>
    <x v="1"/>
    <x v="1"/>
    <s v="No"/>
    <n v="0"/>
    <n v="0"/>
    <n v="5"/>
  </r>
  <r>
    <n v="3397"/>
    <x v="90"/>
    <x v="0"/>
    <d v="2024-08-10T00:00:00"/>
    <x v="1"/>
    <n v="15"/>
    <x v="0"/>
    <x v="0"/>
    <x v="0"/>
    <s v="Yes"/>
    <n v="20"/>
    <n v="20"/>
    <n v="45"/>
  </r>
  <r>
    <n v="3398"/>
    <x v="164"/>
    <x v="2"/>
    <d v="2024-08-11T00:00:00"/>
    <x v="0"/>
    <n v="10"/>
    <x v="2"/>
    <x v="1"/>
    <x v="1"/>
    <s v="Yes"/>
    <n v="20"/>
    <n v="15"/>
    <n v="15"/>
  </r>
  <r>
    <n v="3399"/>
    <x v="165"/>
    <x v="1"/>
    <d v="2024-08-12T00:00:00"/>
    <x v="1"/>
    <n v="5"/>
    <x v="0"/>
    <x v="1"/>
    <x v="1"/>
    <s v="No"/>
    <n v="0"/>
    <n v="1"/>
    <n v="4"/>
  </r>
  <r>
    <n v="3400"/>
    <x v="166"/>
    <x v="0"/>
    <d v="2024-08-13T00:00:00"/>
    <x v="0"/>
    <n v="15"/>
    <x v="1"/>
    <x v="0"/>
    <x v="0"/>
    <s v="Yes"/>
    <n v="20"/>
    <n v="5"/>
    <n v="60"/>
  </r>
  <r>
    <n v="3401"/>
    <x v="167"/>
    <x v="2"/>
    <d v="2024-08-14T00:00:00"/>
    <x v="1"/>
    <n v="10"/>
    <x v="0"/>
    <x v="1"/>
    <x v="1"/>
    <s v="Yes"/>
    <n v="20"/>
    <n v="10"/>
    <n v="20"/>
  </r>
  <r>
    <n v="3402"/>
    <x v="168"/>
    <x v="1"/>
    <d v="2024-08-15T00:00:00"/>
    <x v="0"/>
    <n v="5"/>
    <x v="2"/>
    <x v="1"/>
    <x v="1"/>
    <s v="No"/>
    <n v="0"/>
    <n v="0"/>
    <n v="5"/>
  </r>
  <r>
    <n v="3403"/>
    <x v="169"/>
    <x v="0"/>
    <d v="2024-08-16T00:00:00"/>
    <x v="1"/>
    <n v="15"/>
    <x v="0"/>
    <x v="0"/>
    <x v="0"/>
    <s v="Yes"/>
    <n v="20"/>
    <n v="3"/>
    <n v="62"/>
  </r>
  <r>
    <n v="3404"/>
    <x v="170"/>
    <x v="2"/>
    <d v="2024-08-17T00:00:00"/>
    <x v="0"/>
    <n v="10"/>
    <x v="1"/>
    <x v="1"/>
    <x v="1"/>
    <s v="Yes"/>
    <n v="20"/>
    <n v="15"/>
    <n v="15"/>
  </r>
  <r>
    <n v="3405"/>
    <x v="171"/>
    <x v="1"/>
    <d v="2024-08-18T00:00:00"/>
    <x v="1"/>
    <n v="5"/>
    <x v="0"/>
    <x v="1"/>
    <x v="1"/>
    <s v="No"/>
    <n v="0"/>
    <n v="1"/>
    <n v="4"/>
  </r>
  <r>
    <n v="3406"/>
    <x v="172"/>
    <x v="1"/>
    <d v="2024-08-19T00:00:00"/>
    <x v="0"/>
    <n v="5"/>
    <x v="0"/>
    <x v="1"/>
    <x v="1"/>
    <s v="No"/>
    <n v="0"/>
    <n v="0"/>
    <n v="5"/>
  </r>
  <r>
    <n v="3407"/>
    <x v="173"/>
    <x v="0"/>
    <d v="2024-08-20T00:00:00"/>
    <x v="1"/>
    <n v="15"/>
    <x v="2"/>
    <x v="0"/>
    <x v="0"/>
    <s v="Yes"/>
    <n v="20"/>
    <n v="7"/>
    <n v="58"/>
  </r>
  <r>
    <n v="3408"/>
    <x v="174"/>
    <x v="2"/>
    <d v="2024-08-21T00:00:00"/>
    <x v="0"/>
    <n v="10"/>
    <x v="1"/>
    <x v="1"/>
    <x v="1"/>
    <s v="Yes"/>
    <n v="20"/>
    <n v="10"/>
    <n v="20"/>
  </r>
  <r>
    <n v="3409"/>
    <x v="175"/>
    <x v="1"/>
    <d v="2024-08-22T00:00:00"/>
    <x v="1"/>
    <n v="5"/>
    <x v="2"/>
    <x v="1"/>
    <x v="1"/>
    <s v="No"/>
    <n v="0"/>
    <n v="1"/>
    <n v="4"/>
  </r>
  <r>
    <n v="3410"/>
    <x v="176"/>
    <x v="0"/>
    <d v="2024-08-23T00:00:00"/>
    <x v="0"/>
    <n v="15"/>
    <x v="0"/>
    <x v="0"/>
    <x v="0"/>
    <s v="Yes"/>
    <n v="20"/>
    <n v="15"/>
    <n v="50"/>
  </r>
  <r>
    <n v="3411"/>
    <x v="177"/>
    <x v="2"/>
    <d v="2024-08-24T00:00:00"/>
    <x v="1"/>
    <n v="10"/>
    <x v="0"/>
    <x v="1"/>
    <x v="1"/>
    <s v="Yes"/>
    <n v="20"/>
    <n v="5"/>
    <n v="25"/>
  </r>
  <r>
    <n v="3412"/>
    <x v="178"/>
    <x v="1"/>
    <d v="2024-08-25T00:00:00"/>
    <x v="0"/>
    <n v="5"/>
    <x v="1"/>
    <x v="1"/>
    <x v="1"/>
    <s v="No"/>
    <n v="0"/>
    <n v="0"/>
    <n v="5"/>
  </r>
  <r>
    <n v="3413"/>
    <x v="179"/>
    <x v="0"/>
    <d v="2024-08-26T00:00:00"/>
    <x v="1"/>
    <n v="15"/>
    <x v="2"/>
    <x v="0"/>
    <x v="0"/>
    <s v="Yes"/>
    <n v="20"/>
    <n v="20"/>
    <n v="45"/>
  </r>
  <r>
    <n v="3414"/>
    <x v="180"/>
    <x v="2"/>
    <d v="2024-08-27T00:00:00"/>
    <x v="0"/>
    <n v="10"/>
    <x v="2"/>
    <x v="1"/>
    <x v="1"/>
    <s v="Yes"/>
    <n v="20"/>
    <n v="12"/>
    <n v="18"/>
  </r>
  <r>
    <n v="3415"/>
    <x v="181"/>
    <x v="1"/>
    <d v="2024-08-28T00:00:00"/>
    <x v="1"/>
    <n v="5"/>
    <x v="0"/>
    <x v="1"/>
    <x v="1"/>
    <s v="No"/>
    <n v="0"/>
    <n v="2"/>
    <n v="3"/>
  </r>
  <r>
    <n v="3416"/>
    <x v="182"/>
    <x v="0"/>
    <d v="2024-08-29T00:00:00"/>
    <x v="0"/>
    <n v="15"/>
    <x v="1"/>
    <x v="0"/>
    <x v="0"/>
    <s v="Yes"/>
    <n v="20"/>
    <n v="5"/>
    <n v="60"/>
  </r>
  <r>
    <n v="3417"/>
    <x v="183"/>
    <x v="2"/>
    <d v="2024-08-30T00:00:00"/>
    <x v="1"/>
    <n v="10"/>
    <x v="0"/>
    <x v="1"/>
    <x v="1"/>
    <s v="Yes"/>
    <n v="20"/>
    <n v="10"/>
    <n v="20"/>
  </r>
  <r>
    <n v="3418"/>
    <x v="184"/>
    <x v="1"/>
    <d v="2024-08-31T00:00:00"/>
    <x v="0"/>
    <n v="5"/>
    <x v="2"/>
    <x v="1"/>
    <x v="1"/>
    <s v="No"/>
    <n v="0"/>
    <n v="0"/>
    <n v="5"/>
  </r>
  <r>
    <n v="3419"/>
    <x v="185"/>
    <x v="0"/>
    <d v="2024-09-01T00:00:00"/>
    <x v="1"/>
    <n v="15"/>
    <x v="0"/>
    <x v="0"/>
    <x v="0"/>
    <s v="Yes"/>
    <n v="20"/>
    <n v="3"/>
    <n v="62"/>
  </r>
  <r>
    <n v="3420"/>
    <x v="186"/>
    <x v="2"/>
    <d v="2024-09-02T00:00:00"/>
    <x v="0"/>
    <n v="10"/>
    <x v="1"/>
    <x v="1"/>
    <x v="1"/>
    <s v="Yes"/>
    <n v="20"/>
    <n v="15"/>
    <n v="15"/>
  </r>
  <r>
    <n v="3421"/>
    <x v="15"/>
    <x v="1"/>
    <d v="2024-09-03T00:00:00"/>
    <x v="1"/>
    <n v="5"/>
    <x v="0"/>
    <x v="1"/>
    <x v="1"/>
    <s v="No"/>
    <n v="0"/>
    <n v="1"/>
    <n v="4"/>
  </r>
  <r>
    <n v="3422"/>
    <x v="187"/>
    <x v="0"/>
    <d v="2024-09-04T00:00:00"/>
    <x v="0"/>
    <n v="15"/>
    <x v="2"/>
    <x v="0"/>
    <x v="0"/>
    <s v="Yes"/>
    <n v="20"/>
    <n v="7"/>
    <n v="58"/>
  </r>
  <r>
    <n v="3423"/>
    <x v="188"/>
    <x v="2"/>
    <d v="2024-09-05T00:00:00"/>
    <x v="1"/>
    <n v="10"/>
    <x v="0"/>
    <x v="1"/>
    <x v="1"/>
    <s v="Yes"/>
    <n v="20"/>
    <n v="10"/>
    <n v="20"/>
  </r>
  <r>
    <n v="3424"/>
    <x v="14"/>
    <x v="1"/>
    <d v="2024-09-06T00:00:00"/>
    <x v="0"/>
    <n v="5"/>
    <x v="1"/>
    <x v="1"/>
    <x v="1"/>
    <s v="No"/>
    <n v="0"/>
    <n v="0"/>
    <n v="5"/>
  </r>
  <r>
    <n v="3425"/>
    <x v="189"/>
    <x v="0"/>
    <d v="2024-09-07T00:00:00"/>
    <x v="1"/>
    <n v="15"/>
    <x v="0"/>
    <x v="0"/>
    <x v="0"/>
    <s v="Yes"/>
    <n v="20"/>
    <n v="20"/>
    <n v="45"/>
  </r>
  <r>
    <n v="3426"/>
    <x v="167"/>
    <x v="2"/>
    <d v="2024-09-08T00:00:00"/>
    <x v="0"/>
    <n v="10"/>
    <x v="2"/>
    <x v="1"/>
    <x v="1"/>
    <s v="Yes"/>
    <n v="20"/>
    <n v="15"/>
    <n v="15"/>
  </r>
  <r>
    <n v="3427"/>
    <x v="190"/>
    <x v="1"/>
    <d v="2024-09-09T00:00:00"/>
    <x v="1"/>
    <n v="5"/>
    <x v="0"/>
    <x v="1"/>
    <x v="1"/>
    <s v="No"/>
    <n v="0"/>
    <n v="1"/>
    <n v="4"/>
  </r>
  <r>
    <n v="3428"/>
    <x v="191"/>
    <x v="0"/>
    <d v="2024-09-10T00:00:00"/>
    <x v="0"/>
    <n v="15"/>
    <x v="1"/>
    <x v="0"/>
    <x v="0"/>
    <s v="Yes"/>
    <n v="20"/>
    <n v="3"/>
    <n v="62"/>
  </r>
  <r>
    <n v="3429"/>
    <x v="192"/>
    <x v="2"/>
    <d v="2024-09-11T00:00:00"/>
    <x v="1"/>
    <n v="10"/>
    <x v="0"/>
    <x v="1"/>
    <x v="1"/>
    <s v="Yes"/>
    <n v="20"/>
    <n v="10"/>
    <n v="20"/>
  </r>
  <r>
    <n v="3430"/>
    <x v="193"/>
    <x v="1"/>
    <d v="2024-09-12T00:00:00"/>
    <x v="0"/>
    <n v="5"/>
    <x v="2"/>
    <x v="1"/>
    <x v="1"/>
    <s v="No"/>
    <n v="0"/>
    <n v="0"/>
    <n v="5"/>
  </r>
  <r>
    <n v="3431"/>
    <x v="194"/>
    <x v="0"/>
    <d v="2024-09-13T00:00:00"/>
    <x v="1"/>
    <n v="15"/>
    <x v="0"/>
    <x v="0"/>
    <x v="0"/>
    <s v="Yes"/>
    <n v="20"/>
    <n v="15"/>
    <n v="50"/>
  </r>
  <r>
    <n v="3432"/>
    <x v="195"/>
    <x v="2"/>
    <d v="2024-09-14T00:00:00"/>
    <x v="0"/>
    <n v="10"/>
    <x v="1"/>
    <x v="1"/>
    <x v="1"/>
    <s v="Yes"/>
    <n v="20"/>
    <n v="15"/>
    <n v="15"/>
  </r>
  <r>
    <n v="3433"/>
    <x v="196"/>
    <x v="1"/>
    <d v="2024-09-15T00:00:00"/>
    <x v="1"/>
    <n v="5"/>
    <x v="0"/>
    <x v="1"/>
    <x v="1"/>
    <s v="No"/>
    <n v="0"/>
    <n v="1"/>
    <n v="4"/>
  </r>
  <r>
    <n v="3434"/>
    <x v="197"/>
    <x v="0"/>
    <d v="2024-09-16T00:00:00"/>
    <x v="0"/>
    <n v="15"/>
    <x v="2"/>
    <x v="0"/>
    <x v="0"/>
    <s v="Yes"/>
    <n v="20"/>
    <n v="7"/>
    <n v="58"/>
  </r>
  <r>
    <n v="3435"/>
    <x v="198"/>
    <x v="2"/>
    <d v="2024-09-17T00:00:00"/>
    <x v="1"/>
    <n v="10"/>
    <x v="0"/>
    <x v="1"/>
    <x v="1"/>
    <s v="Yes"/>
    <n v="20"/>
    <n v="10"/>
    <n v="20"/>
  </r>
  <r>
    <n v="3436"/>
    <x v="199"/>
    <x v="1"/>
    <d v="2024-09-18T00:00:00"/>
    <x v="0"/>
    <n v="5"/>
    <x v="0"/>
    <x v="1"/>
    <x v="1"/>
    <s v="No"/>
    <n v="0"/>
    <n v="0"/>
    <n v="5"/>
  </r>
  <r>
    <n v="3437"/>
    <x v="200"/>
    <x v="0"/>
    <d v="2024-09-19T00:00:00"/>
    <x v="1"/>
    <n v="15"/>
    <x v="2"/>
    <x v="0"/>
    <x v="0"/>
    <s v="Yes"/>
    <n v="20"/>
    <n v="7"/>
    <n v="58"/>
  </r>
  <r>
    <n v="3438"/>
    <x v="201"/>
    <x v="2"/>
    <d v="2024-09-20T00:00:00"/>
    <x v="0"/>
    <n v="10"/>
    <x v="1"/>
    <x v="1"/>
    <x v="1"/>
    <s v="Yes"/>
    <n v="20"/>
    <n v="10"/>
    <n v="20"/>
  </r>
  <r>
    <n v="3439"/>
    <x v="202"/>
    <x v="1"/>
    <d v="2024-09-21T00:00:00"/>
    <x v="1"/>
    <n v="5"/>
    <x v="2"/>
    <x v="1"/>
    <x v="1"/>
    <s v="No"/>
    <n v="0"/>
    <n v="1"/>
    <n v="4"/>
  </r>
  <r>
    <n v="3440"/>
    <x v="203"/>
    <x v="0"/>
    <d v="2024-09-22T00:00:00"/>
    <x v="0"/>
    <n v="15"/>
    <x v="0"/>
    <x v="0"/>
    <x v="0"/>
    <s v="Yes"/>
    <n v="20"/>
    <n v="15"/>
    <n v="50"/>
  </r>
  <r>
    <n v="3441"/>
    <x v="204"/>
    <x v="2"/>
    <d v="2024-09-23T00:00:00"/>
    <x v="1"/>
    <n v="10"/>
    <x v="0"/>
    <x v="1"/>
    <x v="1"/>
    <s v="Yes"/>
    <n v="20"/>
    <n v="5"/>
    <n v="25"/>
  </r>
  <r>
    <n v="3442"/>
    <x v="205"/>
    <x v="1"/>
    <d v="2024-09-24T00:00:00"/>
    <x v="0"/>
    <n v="5"/>
    <x v="1"/>
    <x v="1"/>
    <x v="1"/>
    <s v="No"/>
    <n v="0"/>
    <n v="0"/>
    <n v="5"/>
  </r>
  <r>
    <n v="3443"/>
    <x v="206"/>
    <x v="0"/>
    <d v="2024-09-25T00:00:00"/>
    <x v="1"/>
    <n v="15"/>
    <x v="2"/>
    <x v="0"/>
    <x v="0"/>
    <s v="Yes"/>
    <n v="20"/>
    <n v="20"/>
    <n v="45"/>
  </r>
  <r>
    <n v="3444"/>
    <x v="207"/>
    <x v="2"/>
    <d v="2024-09-26T00:00:00"/>
    <x v="0"/>
    <n v="10"/>
    <x v="2"/>
    <x v="1"/>
    <x v="1"/>
    <s v="Yes"/>
    <n v="20"/>
    <n v="12"/>
    <n v="18"/>
  </r>
  <r>
    <n v="3445"/>
    <x v="37"/>
    <x v="1"/>
    <d v="2024-09-27T00:00:00"/>
    <x v="1"/>
    <n v="5"/>
    <x v="0"/>
    <x v="1"/>
    <x v="1"/>
    <s v="No"/>
    <n v="0"/>
    <n v="2"/>
    <n v="3"/>
  </r>
  <r>
    <n v="3446"/>
    <x v="208"/>
    <x v="0"/>
    <d v="2024-09-28T00:00:00"/>
    <x v="0"/>
    <n v="15"/>
    <x v="1"/>
    <x v="0"/>
    <x v="0"/>
    <s v="Yes"/>
    <n v="20"/>
    <n v="5"/>
    <n v="60"/>
  </r>
  <r>
    <n v="3447"/>
    <x v="209"/>
    <x v="2"/>
    <d v="2024-09-29T00:00:00"/>
    <x v="1"/>
    <n v="10"/>
    <x v="0"/>
    <x v="1"/>
    <x v="1"/>
    <s v="Yes"/>
    <n v="20"/>
    <n v="10"/>
    <n v="20"/>
  </r>
  <r>
    <n v="3448"/>
    <x v="210"/>
    <x v="1"/>
    <d v="2024-09-30T00:00:00"/>
    <x v="0"/>
    <n v="5"/>
    <x v="2"/>
    <x v="1"/>
    <x v="1"/>
    <s v="No"/>
    <n v="0"/>
    <n v="0"/>
    <n v="5"/>
  </r>
  <r>
    <n v="3449"/>
    <x v="211"/>
    <x v="0"/>
    <d v="2024-10-01T00:00:00"/>
    <x v="1"/>
    <n v="15"/>
    <x v="0"/>
    <x v="0"/>
    <x v="0"/>
    <s v="Yes"/>
    <n v="20"/>
    <n v="3"/>
    <n v="62"/>
  </r>
  <r>
    <n v="3450"/>
    <x v="212"/>
    <x v="2"/>
    <d v="2024-10-02T00:00:00"/>
    <x v="0"/>
    <n v="10"/>
    <x v="1"/>
    <x v="1"/>
    <x v="1"/>
    <s v="Yes"/>
    <n v="20"/>
    <n v="15"/>
    <n v="15"/>
  </r>
  <r>
    <n v="3451"/>
    <x v="213"/>
    <x v="1"/>
    <d v="2024-10-03T00:00:00"/>
    <x v="1"/>
    <n v="5"/>
    <x v="0"/>
    <x v="1"/>
    <x v="1"/>
    <s v="No"/>
    <n v="0"/>
    <n v="1"/>
    <n v="4"/>
  </r>
  <r>
    <n v="3452"/>
    <x v="191"/>
    <x v="0"/>
    <d v="2024-10-04T00:00:00"/>
    <x v="0"/>
    <n v="15"/>
    <x v="2"/>
    <x v="0"/>
    <x v="0"/>
    <s v="Yes"/>
    <n v="20"/>
    <n v="7"/>
    <n v="58"/>
  </r>
  <r>
    <n v="3453"/>
    <x v="45"/>
    <x v="2"/>
    <d v="2024-10-05T00:00:00"/>
    <x v="1"/>
    <n v="10"/>
    <x v="0"/>
    <x v="1"/>
    <x v="1"/>
    <s v="Yes"/>
    <n v="20"/>
    <n v="10"/>
    <n v="20"/>
  </r>
  <r>
    <n v="3454"/>
    <x v="214"/>
    <x v="1"/>
    <d v="2024-10-06T00:00:00"/>
    <x v="0"/>
    <n v="5"/>
    <x v="1"/>
    <x v="1"/>
    <x v="1"/>
    <s v="No"/>
    <n v="0"/>
    <n v="0"/>
    <n v="5"/>
  </r>
  <r>
    <n v="3455"/>
    <x v="215"/>
    <x v="0"/>
    <d v="2024-10-07T00:00:00"/>
    <x v="1"/>
    <n v="15"/>
    <x v="0"/>
    <x v="0"/>
    <x v="0"/>
    <s v="Yes"/>
    <n v="20"/>
    <n v="20"/>
    <n v="45"/>
  </r>
  <r>
    <n v="3456"/>
    <x v="216"/>
    <x v="2"/>
    <d v="2024-10-08T00:00:00"/>
    <x v="0"/>
    <n v="10"/>
    <x v="2"/>
    <x v="1"/>
    <x v="1"/>
    <s v="Yes"/>
    <n v="20"/>
    <n v="15"/>
    <n v="15"/>
  </r>
  <r>
    <n v="3457"/>
    <x v="217"/>
    <x v="1"/>
    <d v="2024-10-09T00:00:00"/>
    <x v="1"/>
    <n v="5"/>
    <x v="0"/>
    <x v="1"/>
    <x v="1"/>
    <s v="No"/>
    <n v="0"/>
    <n v="1"/>
    <n v="4"/>
  </r>
  <r>
    <n v="3458"/>
    <x v="218"/>
    <x v="0"/>
    <d v="2024-10-10T00:00:00"/>
    <x v="0"/>
    <n v="15"/>
    <x v="1"/>
    <x v="0"/>
    <x v="0"/>
    <s v="Yes"/>
    <n v="20"/>
    <n v="3"/>
    <n v="62"/>
  </r>
  <r>
    <n v="3459"/>
    <x v="219"/>
    <x v="2"/>
    <d v="2024-10-11T00:00:00"/>
    <x v="1"/>
    <n v="10"/>
    <x v="0"/>
    <x v="1"/>
    <x v="1"/>
    <s v="Yes"/>
    <n v="20"/>
    <n v="10"/>
    <n v="20"/>
  </r>
  <r>
    <n v="3460"/>
    <x v="127"/>
    <x v="1"/>
    <d v="2024-10-12T00:00:00"/>
    <x v="0"/>
    <n v="5"/>
    <x v="2"/>
    <x v="1"/>
    <x v="1"/>
    <s v="No"/>
    <n v="0"/>
    <n v="0"/>
    <n v="5"/>
  </r>
  <r>
    <n v="3461"/>
    <x v="220"/>
    <x v="0"/>
    <d v="2024-10-13T00:00:00"/>
    <x v="1"/>
    <n v="15"/>
    <x v="0"/>
    <x v="0"/>
    <x v="0"/>
    <s v="Yes"/>
    <n v="20"/>
    <n v="15"/>
    <n v="50"/>
  </r>
  <r>
    <n v="3462"/>
    <x v="221"/>
    <x v="2"/>
    <d v="2024-10-14T00:00:00"/>
    <x v="0"/>
    <n v="10"/>
    <x v="1"/>
    <x v="1"/>
    <x v="1"/>
    <s v="Yes"/>
    <n v="20"/>
    <n v="15"/>
    <n v="15"/>
  </r>
  <r>
    <n v="3463"/>
    <x v="222"/>
    <x v="1"/>
    <d v="2024-10-15T00:00:00"/>
    <x v="1"/>
    <n v="5"/>
    <x v="0"/>
    <x v="1"/>
    <x v="1"/>
    <s v="No"/>
    <n v="0"/>
    <n v="1"/>
    <n v="4"/>
  </r>
  <r>
    <n v="3464"/>
    <x v="223"/>
    <x v="0"/>
    <d v="2024-10-16T00:00:00"/>
    <x v="0"/>
    <n v="15"/>
    <x v="2"/>
    <x v="0"/>
    <x v="0"/>
    <s v="Yes"/>
    <n v="20"/>
    <n v="7"/>
    <n v="58"/>
  </r>
  <r>
    <n v="3465"/>
    <x v="224"/>
    <x v="2"/>
    <d v="2024-10-17T00:00:00"/>
    <x v="1"/>
    <n v="10"/>
    <x v="0"/>
    <x v="1"/>
    <x v="1"/>
    <s v="Yes"/>
    <n v="20"/>
    <n v="10"/>
    <n v="20"/>
  </r>
  <r>
    <n v="3466"/>
    <x v="225"/>
    <x v="1"/>
    <d v="2024-10-18T00:00:00"/>
    <x v="0"/>
    <n v="5"/>
    <x v="1"/>
    <x v="1"/>
    <x v="1"/>
    <s v="No"/>
    <n v="0"/>
    <n v="0"/>
    <n v="5"/>
  </r>
  <r>
    <n v="3467"/>
    <x v="226"/>
    <x v="0"/>
    <d v="2024-10-19T00:00:00"/>
    <x v="1"/>
    <n v="15"/>
    <x v="0"/>
    <x v="0"/>
    <x v="0"/>
    <s v="Yes"/>
    <n v="20"/>
    <n v="15"/>
    <n v="50"/>
  </r>
  <r>
    <n v="3468"/>
    <x v="227"/>
    <x v="2"/>
    <d v="2024-10-20T00:00:00"/>
    <x v="0"/>
    <n v="10"/>
    <x v="2"/>
    <x v="1"/>
    <x v="1"/>
    <s v="Yes"/>
    <n v="20"/>
    <n v="12"/>
    <n v="18"/>
  </r>
  <r>
    <n v="3469"/>
    <x v="228"/>
    <x v="1"/>
    <d v="2024-10-21T00:00:00"/>
    <x v="1"/>
    <n v="5"/>
    <x v="0"/>
    <x v="1"/>
    <x v="1"/>
    <s v="No"/>
    <n v="0"/>
    <n v="2"/>
    <n v="3"/>
  </r>
  <r>
    <n v="3470"/>
    <x v="229"/>
    <x v="0"/>
    <d v="2024-10-22T00:00:00"/>
    <x v="0"/>
    <n v="15"/>
    <x v="1"/>
    <x v="0"/>
    <x v="0"/>
    <s v="Yes"/>
    <n v="20"/>
    <n v="5"/>
    <n v="60"/>
  </r>
  <r>
    <n v="3471"/>
    <x v="230"/>
    <x v="2"/>
    <d v="2024-10-23T00:00:00"/>
    <x v="1"/>
    <n v="10"/>
    <x v="0"/>
    <x v="1"/>
    <x v="1"/>
    <s v="Yes"/>
    <n v="20"/>
    <n v="10"/>
    <n v="20"/>
  </r>
  <r>
    <n v="3472"/>
    <x v="231"/>
    <x v="1"/>
    <d v="2024-10-24T00:00:00"/>
    <x v="0"/>
    <n v="5"/>
    <x v="2"/>
    <x v="1"/>
    <x v="1"/>
    <s v="No"/>
    <n v="0"/>
    <n v="0"/>
    <n v="5"/>
  </r>
  <r>
    <n v="3473"/>
    <x v="140"/>
    <x v="0"/>
    <d v="2024-10-25T00:00:00"/>
    <x v="1"/>
    <n v="15"/>
    <x v="0"/>
    <x v="0"/>
    <x v="0"/>
    <s v="Yes"/>
    <n v="20"/>
    <n v="3"/>
    <n v="62"/>
  </r>
  <r>
    <n v="3474"/>
    <x v="232"/>
    <x v="2"/>
    <d v="2024-10-26T00:00:00"/>
    <x v="0"/>
    <n v="10"/>
    <x v="1"/>
    <x v="1"/>
    <x v="1"/>
    <s v="Yes"/>
    <n v="20"/>
    <n v="15"/>
    <n v="15"/>
  </r>
  <r>
    <n v="3475"/>
    <x v="233"/>
    <x v="1"/>
    <d v="2024-10-27T00:00:00"/>
    <x v="1"/>
    <n v="5"/>
    <x v="0"/>
    <x v="1"/>
    <x v="1"/>
    <s v="No"/>
    <n v="0"/>
    <n v="1"/>
    <n v="4"/>
  </r>
  <r>
    <n v="3476"/>
    <x v="234"/>
    <x v="0"/>
    <d v="2024-10-28T00:00:00"/>
    <x v="0"/>
    <n v="15"/>
    <x v="2"/>
    <x v="0"/>
    <x v="0"/>
    <s v="Yes"/>
    <n v="20"/>
    <n v="7"/>
    <n v="58"/>
  </r>
  <r>
    <n v="3477"/>
    <x v="235"/>
    <x v="2"/>
    <d v="2024-10-29T00:00:00"/>
    <x v="1"/>
    <n v="10"/>
    <x v="0"/>
    <x v="1"/>
    <x v="1"/>
    <s v="Yes"/>
    <n v="20"/>
    <n v="10"/>
    <n v="20"/>
  </r>
  <r>
    <n v="3478"/>
    <x v="236"/>
    <x v="1"/>
    <d v="2024-10-30T00:00:00"/>
    <x v="0"/>
    <n v="5"/>
    <x v="1"/>
    <x v="1"/>
    <x v="1"/>
    <s v="No"/>
    <n v="0"/>
    <n v="0"/>
    <n v="5"/>
  </r>
  <r>
    <n v="3479"/>
    <x v="237"/>
    <x v="0"/>
    <d v="2024-10-31T00:00:00"/>
    <x v="1"/>
    <n v="15"/>
    <x v="0"/>
    <x v="0"/>
    <x v="0"/>
    <s v="Yes"/>
    <n v="20"/>
    <n v="20"/>
    <n v="45"/>
  </r>
  <r>
    <n v="3480"/>
    <x v="238"/>
    <x v="2"/>
    <d v="2024-11-01T00:00:00"/>
    <x v="0"/>
    <n v="10"/>
    <x v="2"/>
    <x v="1"/>
    <x v="1"/>
    <s v="Yes"/>
    <n v="20"/>
    <n v="15"/>
    <n v="15"/>
  </r>
  <r>
    <n v="3481"/>
    <x v="239"/>
    <x v="1"/>
    <d v="2024-11-02T00:00:00"/>
    <x v="1"/>
    <n v="5"/>
    <x v="0"/>
    <x v="1"/>
    <x v="1"/>
    <s v="No"/>
    <n v="0"/>
    <n v="1"/>
    <n v="4"/>
  </r>
  <r>
    <n v="3482"/>
    <x v="240"/>
    <x v="0"/>
    <d v="2024-11-03T00:00:00"/>
    <x v="0"/>
    <n v="15"/>
    <x v="1"/>
    <x v="0"/>
    <x v="0"/>
    <s v="Yes"/>
    <n v="20"/>
    <n v="3"/>
    <n v="62"/>
  </r>
  <r>
    <n v="3483"/>
    <x v="241"/>
    <x v="2"/>
    <d v="2024-11-04T00:00:00"/>
    <x v="1"/>
    <n v="10"/>
    <x v="0"/>
    <x v="1"/>
    <x v="1"/>
    <s v="Yes"/>
    <n v="20"/>
    <n v="10"/>
    <n v="20"/>
  </r>
  <r>
    <n v="3484"/>
    <x v="242"/>
    <x v="1"/>
    <d v="2024-11-05T00:00:00"/>
    <x v="0"/>
    <n v="5"/>
    <x v="2"/>
    <x v="1"/>
    <x v="1"/>
    <s v="No"/>
    <n v="0"/>
    <n v="0"/>
    <n v="5"/>
  </r>
  <r>
    <n v="3485"/>
    <x v="243"/>
    <x v="0"/>
    <d v="2024-11-06T00:00:00"/>
    <x v="1"/>
    <n v="15"/>
    <x v="0"/>
    <x v="0"/>
    <x v="0"/>
    <s v="Yes"/>
    <n v="20"/>
    <n v="15"/>
    <n v="50"/>
  </r>
  <r>
    <n v="3486"/>
    <x v="244"/>
    <x v="1"/>
    <d v="2024-11-07T00:00:00"/>
    <x v="0"/>
    <n v="5"/>
    <x v="0"/>
    <x v="1"/>
    <x v="1"/>
    <s v="No"/>
    <n v="0"/>
    <n v="0"/>
    <n v="5"/>
  </r>
  <r>
    <n v="3487"/>
    <x v="245"/>
    <x v="0"/>
    <d v="2024-11-08T00:00:00"/>
    <x v="1"/>
    <n v="15"/>
    <x v="2"/>
    <x v="0"/>
    <x v="0"/>
    <s v="Yes"/>
    <n v="20"/>
    <n v="7"/>
    <n v="58"/>
  </r>
  <r>
    <n v="3488"/>
    <x v="246"/>
    <x v="2"/>
    <d v="2024-11-09T00:00:00"/>
    <x v="0"/>
    <n v="10"/>
    <x v="1"/>
    <x v="1"/>
    <x v="1"/>
    <s v="Yes"/>
    <n v="20"/>
    <n v="10"/>
    <n v="20"/>
  </r>
  <r>
    <n v="3489"/>
    <x v="247"/>
    <x v="1"/>
    <d v="2024-11-10T00:00:00"/>
    <x v="1"/>
    <n v="5"/>
    <x v="2"/>
    <x v="1"/>
    <x v="1"/>
    <s v="No"/>
    <n v="0"/>
    <n v="1"/>
    <n v="4"/>
  </r>
  <r>
    <n v="3490"/>
    <x v="248"/>
    <x v="0"/>
    <d v="2024-11-11T00:00:00"/>
    <x v="0"/>
    <n v="15"/>
    <x v="0"/>
    <x v="0"/>
    <x v="0"/>
    <s v="Yes"/>
    <n v="20"/>
    <n v="15"/>
    <n v="50"/>
  </r>
  <r>
    <n v="3491"/>
    <x v="249"/>
    <x v="2"/>
    <d v="2024-11-12T00:00:00"/>
    <x v="1"/>
    <n v="10"/>
    <x v="0"/>
    <x v="1"/>
    <x v="1"/>
    <s v="Yes"/>
    <n v="20"/>
    <n v="5"/>
    <n v="25"/>
  </r>
  <r>
    <n v="3492"/>
    <x v="250"/>
    <x v="1"/>
    <d v="2024-11-13T00:00:00"/>
    <x v="0"/>
    <n v="5"/>
    <x v="1"/>
    <x v="1"/>
    <x v="1"/>
    <s v="No"/>
    <n v="0"/>
    <n v="0"/>
    <n v="5"/>
  </r>
  <r>
    <n v="3493"/>
    <x v="251"/>
    <x v="0"/>
    <d v="2024-11-14T00:00:00"/>
    <x v="1"/>
    <n v="15"/>
    <x v="2"/>
    <x v="0"/>
    <x v="0"/>
    <s v="Yes"/>
    <n v="20"/>
    <n v="20"/>
    <n v="45"/>
  </r>
  <r>
    <n v="3494"/>
    <x v="252"/>
    <x v="2"/>
    <d v="2024-11-15T00:00:00"/>
    <x v="0"/>
    <n v="10"/>
    <x v="2"/>
    <x v="1"/>
    <x v="1"/>
    <s v="Yes"/>
    <n v="20"/>
    <n v="12"/>
    <n v="18"/>
  </r>
  <r>
    <n v="3495"/>
    <x v="253"/>
    <x v="1"/>
    <d v="2024-11-16T00:00:00"/>
    <x v="1"/>
    <n v="5"/>
    <x v="0"/>
    <x v="1"/>
    <x v="1"/>
    <s v="No"/>
    <n v="0"/>
    <n v="2"/>
    <n v="3"/>
  </r>
  <r>
    <n v="3496"/>
    <x v="254"/>
    <x v="0"/>
    <d v="2024-11-17T00:00:00"/>
    <x v="0"/>
    <n v="15"/>
    <x v="1"/>
    <x v="0"/>
    <x v="0"/>
    <s v="Yes"/>
    <n v="20"/>
    <n v="5"/>
    <n v="60"/>
  </r>
  <r>
    <n v="3497"/>
    <x v="255"/>
    <x v="2"/>
    <d v="2024-11-18T00:00:00"/>
    <x v="1"/>
    <n v="10"/>
    <x v="0"/>
    <x v="1"/>
    <x v="1"/>
    <s v="Yes"/>
    <n v="20"/>
    <n v="10"/>
    <n v="20"/>
  </r>
  <r>
    <n v="3498"/>
    <x v="256"/>
    <x v="1"/>
    <d v="2024-11-19T00:00:00"/>
    <x v="0"/>
    <n v="5"/>
    <x v="2"/>
    <x v="1"/>
    <x v="1"/>
    <s v="No"/>
    <n v="0"/>
    <n v="0"/>
    <n v="5"/>
  </r>
  <r>
    <n v="3499"/>
    <x v="257"/>
    <x v="0"/>
    <d v="2024-11-20T00:00:00"/>
    <x v="1"/>
    <n v="15"/>
    <x v="0"/>
    <x v="0"/>
    <x v="0"/>
    <s v="Yes"/>
    <n v="20"/>
    <n v="3"/>
    <n v="62"/>
  </r>
  <r>
    <n v="3500"/>
    <x v="258"/>
    <x v="2"/>
    <d v="2024-11-21T00:00:00"/>
    <x v="0"/>
    <n v="10"/>
    <x v="1"/>
    <x v="1"/>
    <x v="1"/>
    <s v="Yes"/>
    <n v="20"/>
    <n v="15"/>
    <n v="15"/>
  </r>
  <r>
    <n v="3501"/>
    <x v="259"/>
    <x v="1"/>
    <d v="2024-11-22T00:00:00"/>
    <x v="1"/>
    <n v="5"/>
    <x v="0"/>
    <x v="1"/>
    <x v="1"/>
    <s v="No"/>
    <n v="0"/>
    <n v="1"/>
    <n v="4"/>
  </r>
  <r>
    <n v="3502"/>
    <x v="260"/>
    <x v="0"/>
    <d v="2024-11-23T00:00:00"/>
    <x v="0"/>
    <n v="15"/>
    <x v="2"/>
    <x v="0"/>
    <x v="0"/>
    <s v="Yes"/>
    <n v="20"/>
    <n v="7"/>
    <n v="58"/>
  </r>
  <r>
    <n v="3503"/>
    <x v="119"/>
    <x v="2"/>
    <d v="2024-11-24T00:00:00"/>
    <x v="1"/>
    <n v="10"/>
    <x v="0"/>
    <x v="1"/>
    <x v="1"/>
    <s v="Yes"/>
    <n v="20"/>
    <n v="10"/>
    <n v="20"/>
  </r>
  <r>
    <n v="3504"/>
    <x v="261"/>
    <x v="1"/>
    <d v="2024-11-25T00:00:00"/>
    <x v="0"/>
    <n v="5"/>
    <x v="1"/>
    <x v="1"/>
    <x v="1"/>
    <s v="No"/>
    <n v="0"/>
    <n v="0"/>
    <n v="5"/>
  </r>
  <r>
    <n v="3505"/>
    <x v="262"/>
    <x v="0"/>
    <d v="2024-11-26T00:00:00"/>
    <x v="1"/>
    <n v="15"/>
    <x v="0"/>
    <x v="0"/>
    <x v="0"/>
    <s v="Yes"/>
    <n v="20"/>
    <n v="20"/>
    <n v="45"/>
  </r>
  <r>
    <n v="3506"/>
    <x v="263"/>
    <x v="2"/>
    <d v="2024-11-27T00:00:00"/>
    <x v="0"/>
    <n v="10"/>
    <x v="2"/>
    <x v="1"/>
    <x v="1"/>
    <s v="Yes"/>
    <n v="20"/>
    <n v="15"/>
    <n v="15"/>
  </r>
  <r>
    <n v="3507"/>
    <x v="264"/>
    <x v="1"/>
    <d v="2024-11-28T00:00:00"/>
    <x v="1"/>
    <n v="5"/>
    <x v="0"/>
    <x v="1"/>
    <x v="1"/>
    <s v="No"/>
    <n v="0"/>
    <n v="1"/>
    <n v="4"/>
  </r>
  <r>
    <n v="3508"/>
    <x v="265"/>
    <x v="0"/>
    <d v="2024-11-29T00:00:00"/>
    <x v="0"/>
    <n v="15"/>
    <x v="1"/>
    <x v="0"/>
    <x v="0"/>
    <s v="Yes"/>
    <n v="20"/>
    <n v="3"/>
    <n v="62"/>
  </r>
  <r>
    <n v="3509"/>
    <x v="266"/>
    <x v="2"/>
    <d v="2024-11-30T00:00:00"/>
    <x v="1"/>
    <n v="10"/>
    <x v="0"/>
    <x v="1"/>
    <x v="1"/>
    <s v="Yes"/>
    <n v="20"/>
    <n v="10"/>
    <n v="20"/>
  </r>
  <r>
    <n v="3510"/>
    <x v="267"/>
    <x v="1"/>
    <d v="2024-12-01T00:00:00"/>
    <x v="0"/>
    <n v="5"/>
    <x v="2"/>
    <x v="1"/>
    <x v="1"/>
    <s v="No"/>
    <n v="0"/>
    <n v="0"/>
    <n v="5"/>
  </r>
  <r>
    <n v="3511"/>
    <x v="268"/>
    <x v="0"/>
    <d v="2024-12-02T00:00:00"/>
    <x v="1"/>
    <n v="15"/>
    <x v="0"/>
    <x v="0"/>
    <x v="0"/>
    <s v="Yes"/>
    <n v="20"/>
    <n v="15"/>
    <n v="50"/>
  </r>
  <r>
    <n v="3512"/>
    <x v="269"/>
    <x v="2"/>
    <d v="2024-12-03T00:00:00"/>
    <x v="0"/>
    <n v="10"/>
    <x v="1"/>
    <x v="1"/>
    <x v="1"/>
    <s v="Yes"/>
    <n v="20"/>
    <n v="15"/>
    <n v="15"/>
  </r>
  <r>
    <n v="3513"/>
    <x v="270"/>
    <x v="1"/>
    <d v="2024-12-04T00:00:00"/>
    <x v="1"/>
    <n v="5"/>
    <x v="0"/>
    <x v="1"/>
    <x v="1"/>
    <s v="No"/>
    <n v="0"/>
    <n v="1"/>
    <n v="4"/>
  </r>
  <r>
    <n v="3514"/>
    <x v="271"/>
    <x v="0"/>
    <d v="2024-12-05T00:00:00"/>
    <x v="0"/>
    <n v="15"/>
    <x v="2"/>
    <x v="0"/>
    <x v="0"/>
    <s v="Yes"/>
    <n v="20"/>
    <n v="7"/>
    <n v="58"/>
  </r>
  <r>
    <n v="3515"/>
    <x v="130"/>
    <x v="2"/>
    <d v="2024-12-06T00:00:00"/>
    <x v="1"/>
    <n v="10"/>
    <x v="0"/>
    <x v="1"/>
    <x v="1"/>
    <s v="Yes"/>
    <n v="20"/>
    <n v="10"/>
    <n v="20"/>
  </r>
  <r>
    <n v="3516"/>
    <x v="131"/>
    <x v="1"/>
    <d v="2024-12-07T00:00:00"/>
    <x v="0"/>
    <n v="5"/>
    <x v="1"/>
    <x v="1"/>
    <x v="1"/>
    <s v="No"/>
    <n v="0"/>
    <n v="0"/>
    <n v="5"/>
  </r>
  <r>
    <n v="3517"/>
    <x v="181"/>
    <x v="0"/>
    <d v="2024-12-08T00:00:00"/>
    <x v="1"/>
    <n v="15"/>
    <x v="0"/>
    <x v="0"/>
    <x v="0"/>
    <s v="Yes"/>
    <n v="20"/>
    <n v="20"/>
    <n v="45"/>
  </r>
  <r>
    <n v="3518"/>
    <x v="272"/>
    <x v="2"/>
    <d v="2024-12-09T00:00:00"/>
    <x v="0"/>
    <n v="10"/>
    <x v="2"/>
    <x v="1"/>
    <x v="1"/>
    <s v="Yes"/>
    <n v="20"/>
    <n v="12"/>
    <n v="18"/>
  </r>
  <r>
    <n v="3519"/>
    <x v="273"/>
    <x v="1"/>
    <d v="2024-12-10T00:00:00"/>
    <x v="1"/>
    <n v="5"/>
    <x v="0"/>
    <x v="1"/>
    <x v="1"/>
    <s v="No"/>
    <n v="0"/>
    <n v="2"/>
    <n v="3"/>
  </r>
  <r>
    <n v="3520"/>
    <x v="274"/>
    <x v="0"/>
    <d v="2024-12-11T00:00:00"/>
    <x v="0"/>
    <n v="15"/>
    <x v="1"/>
    <x v="0"/>
    <x v="0"/>
    <s v="Yes"/>
    <n v="20"/>
    <n v="5"/>
    <n v="60"/>
  </r>
  <r>
    <n v="3521"/>
    <x v="275"/>
    <x v="2"/>
    <d v="2024-12-12T00:00:00"/>
    <x v="1"/>
    <n v="10"/>
    <x v="0"/>
    <x v="1"/>
    <x v="1"/>
    <s v="Yes"/>
    <n v="20"/>
    <n v="10"/>
    <n v="20"/>
  </r>
  <r>
    <n v="3522"/>
    <x v="276"/>
    <x v="1"/>
    <d v="2024-12-13T00:00:00"/>
    <x v="0"/>
    <n v="5"/>
    <x v="2"/>
    <x v="1"/>
    <x v="1"/>
    <s v="No"/>
    <n v="0"/>
    <n v="0"/>
    <n v="5"/>
  </r>
  <r>
    <n v="3523"/>
    <x v="277"/>
    <x v="0"/>
    <d v="2024-12-14T00:00:00"/>
    <x v="1"/>
    <n v="15"/>
    <x v="0"/>
    <x v="0"/>
    <x v="0"/>
    <s v="Yes"/>
    <n v="20"/>
    <n v="3"/>
    <n v="62"/>
  </r>
  <r>
    <n v="3524"/>
    <x v="278"/>
    <x v="2"/>
    <d v="2024-12-15T00:00:00"/>
    <x v="0"/>
    <n v="10"/>
    <x v="1"/>
    <x v="1"/>
    <x v="1"/>
    <s v="Yes"/>
    <n v="20"/>
    <n v="15"/>
    <n v="15"/>
  </r>
  <r>
    <n v="3525"/>
    <x v="279"/>
    <x v="1"/>
    <d v="2024-12-16T00:00:00"/>
    <x v="1"/>
    <n v="5"/>
    <x v="0"/>
    <x v="1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3" cacheId="8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4">
  <location ref="B27:C3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bl_easeasonpass_total" cacheId="8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4">
  <location ref="B14:C18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bl_anual_total" cacheId="8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7">
  <location ref="B6:C9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/>
  </dataFields>
  <chartFormats count="3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bl_anual_total"/>
    <pivotTable tabId="3" name="tbl_easeasonpass_total"/>
    <pivotTable tabId="3" name="Tabela dinâmica3"/>
  </pivotTables>
  <data>
    <tabular pivotCacheId="1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" cache="SegmentaçãodeDados_Subscription_Type" caption="Subscription Type" style="SlicerStyleLight6 2" rowHeight="234950"/>
</slicers>
</file>

<file path=xl/tables/table1.xml><?xml version="1.0" encoding="utf-8"?>
<table xmlns="http://schemas.openxmlformats.org/spreadsheetml/2006/main" id="1" name="Tabela1" displayName="Tabela1" ref="A1:M296" totalsRowShown="0" dataDxfId="15">
  <autoFilter ref="A1:M296">
    <filterColumn colId="7">
      <filters>
        <filter val="Yes"/>
      </filters>
    </filterColumn>
  </autoFilter>
  <tableColumns count="13">
    <tableColumn id="1" name="Subscriber ID" dataDxfId="14"/>
    <tableColumn id="2" name="Name" dataDxfId="13"/>
    <tableColumn id="3" name="Plan" dataDxfId="12"/>
    <tableColumn id="4" name="Start Date" dataDxfId="11"/>
    <tableColumn id="5" name="Auto Renewal" dataDxfId="10"/>
    <tableColumn id="6" name="Subscription Price" dataDxfId="9" dataCellStyle="Moeda"/>
    <tableColumn id="7" name="Subscription Type" dataDxfId="8"/>
    <tableColumn id="8" name="EA Play Season Pass" dataDxfId="7"/>
    <tableColumn id="13" name="EA Play Season Pass_x000a_Price" dataDxfId="6" dataCellStyle="Moeda"/>
    <tableColumn id="9" name="Minecraft Season Pass" dataDxfId="5"/>
    <tableColumn id="10" name="Minecraft Season Pass Price" dataDxfId="4" dataCellStyle="Moeda"/>
    <tableColumn id="11" name="Coupon Value" dataDxfId="3" dataCellStyle="Moeda"/>
    <tableColumn id="12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1"/>
  <sheetViews>
    <sheetView showGridLines="0" zoomScaleNormal="100" workbookViewId="0">
      <selection activeCell="K26" sqref="K26"/>
    </sheetView>
  </sheetViews>
  <sheetFormatPr defaultRowHeight="13.8"/>
  <cols>
    <col min="9" max="9" width="3.59765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 ht="15">
      <c r="B5" s="3" t="s">
        <v>2</v>
      </c>
      <c r="C5" t="s">
        <v>8</v>
      </c>
      <c r="E5" s="7" t="s">
        <v>6</v>
      </c>
      <c r="F5" t="s">
        <v>7</v>
      </c>
    </row>
    <row r="6" spans="2:16" ht="15">
      <c r="B6" s="4" t="s">
        <v>3</v>
      </c>
      <c r="C6" t="s">
        <v>8</v>
      </c>
    </row>
    <row r="7" spans="2:16" ht="15">
      <c r="B7" s="5" t="s">
        <v>4</v>
      </c>
      <c r="C7" t="s">
        <v>9</v>
      </c>
    </row>
    <row r="8" spans="2:16" ht="15">
      <c r="B8" s="6" t="s">
        <v>5</v>
      </c>
      <c r="C8" t="s">
        <v>9</v>
      </c>
    </row>
    <row r="12" spans="2:16" ht="19.8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 ht="15">
      <c r="B14" s="2"/>
      <c r="C14" s="2"/>
      <c r="D14" s="2"/>
      <c r="E14" s="2"/>
      <c r="F14" s="2"/>
      <c r="G14" s="2"/>
      <c r="H14" s="2"/>
    </row>
    <row r="15" spans="2:16" ht="15">
      <c r="B15" s="2"/>
      <c r="C15" s="2"/>
      <c r="D15" s="2"/>
      <c r="E15" s="2"/>
      <c r="F15" s="2"/>
      <c r="G15" s="2"/>
      <c r="H15" s="2"/>
    </row>
    <row r="16" spans="2:16" ht="15">
      <c r="B16" s="2"/>
      <c r="C16" s="2"/>
      <c r="D16" s="2"/>
      <c r="E16" s="2"/>
      <c r="F16" s="2"/>
      <c r="G16" s="2"/>
      <c r="H16" s="2"/>
    </row>
    <row r="17" spans="2:8" ht="15">
      <c r="B17" s="2"/>
      <c r="C17" s="2"/>
      <c r="D17" s="2"/>
      <c r="E17" s="2"/>
      <c r="F17" s="2"/>
      <c r="G17" s="2"/>
      <c r="H17" s="2"/>
    </row>
    <row r="18" spans="2:8" ht="15">
      <c r="B18" s="2"/>
      <c r="C18" s="2"/>
      <c r="D18" s="2"/>
      <c r="E18" s="2"/>
      <c r="F18" s="2"/>
      <c r="G18" s="2"/>
      <c r="H18" s="2"/>
    </row>
    <row r="19" spans="2:8" ht="15">
      <c r="B19" s="2"/>
      <c r="C19" s="2"/>
      <c r="D19" s="2"/>
      <c r="E19" s="2"/>
      <c r="F19" s="2"/>
      <c r="G19" s="2"/>
      <c r="H19" s="2"/>
    </row>
    <row r="20" spans="2:8" ht="15">
      <c r="B20" s="2"/>
      <c r="C20" s="2"/>
      <c r="D20" s="2"/>
      <c r="E20" s="2"/>
      <c r="F20" s="2"/>
      <c r="G20" s="2"/>
      <c r="H20" s="2"/>
    </row>
    <row r="21" spans="2:8" ht="1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topLeftCell="D1" zoomScale="90" zoomScaleNormal="90" workbookViewId="0">
      <selection activeCell="H16" sqref="H16"/>
    </sheetView>
  </sheetViews>
  <sheetFormatPr defaultRowHeight="13.8"/>
  <cols>
    <col min="1" max="1" width="17.8984375" bestFit="1" customWidth="1"/>
    <col min="2" max="2" width="18.8984375" bestFit="1" customWidth="1"/>
    <col min="3" max="3" width="9.3984375" bestFit="1" customWidth="1"/>
    <col min="4" max="4" width="14.59765625" bestFit="1" customWidth="1"/>
    <col min="5" max="5" width="18" bestFit="1" customWidth="1"/>
    <col min="6" max="6" width="14.69921875" bestFit="1" customWidth="1"/>
    <col min="7" max="7" width="22" bestFit="1" customWidth="1"/>
    <col min="8" max="8" width="20.59765625" bestFit="1" customWidth="1"/>
    <col min="9" max="9" width="20.59765625" customWidth="1"/>
    <col min="10" max="10" width="16.69921875" bestFit="1" customWidth="1"/>
    <col min="11" max="11" width="21.296875" bestFit="1" customWidth="1"/>
    <col min="12" max="12" width="12.69921875" bestFit="1" customWidth="1"/>
    <col min="13" max="13" width="10.59765625" bestFit="1" customWidth="1"/>
  </cols>
  <sheetData>
    <row r="1" spans="1:13" ht="36" customHeight="1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9.9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9.9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4:C34"/>
  <sheetViews>
    <sheetView showGridLines="0" topLeftCell="A13" workbookViewId="0">
      <selection activeCell="C16" sqref="C16"/>
    </sheetView>
  </sheetViews>
  <sheetFormatPr defaultRowHeight="13.8"/>
  <cols>
    <col min="2" max="2" width="17.69921875" customWidth="1"/>
    <col min="3" max="3" width="34.5" style="15" customWidth="1"/>
    <col min="4" max="4" width="38.19921875" bestFit="1" customWidth="1"/>
    <col min="5" max="5" width="6.296875" customWidth="1"/>
    <col min="6" max="6" width="19.09765625" bestFit="1" customWidth="1"/>
    <col min="7" max="7" width="27.69921875" bestFit="1" customWidth="1"/>
    <col min="8" max="8" width="5.3984375" customWidth="1"/>
    <col min="9" max="9" width="21.09765625" bestFit="1" customWidth="1"/>
    <col min="10" max="11" width="35.09765625" bestFit="1" customWidth="1"/>
    <col min="12" max="15" width="9.69921875" bestFit="1" customWidth="1"/>
    <col min="16" max="16" width="15.59765625" bestFit="1" customWidth="1"/>
    <col min="17" max="17" width="12.09765625" bestFit="1" customWidth="1"/>
  </cols>
  <sheetData>
    <row r="4" spans="2:3">
      <c r="B4" s="12" t="s">
        <v>16</v>
      </c>
      <c r="C4" t="s">
        <v>27</v>
      </c>
    </row>
    <row r="6" spans="2:3">
      <c r="B6" s="12" t="s">
        <v>313</v>
      </c>
      <c r="C6" t="s">
        <v>315</v>
      </c>
    </row>
    <row r="7" spans="2:3">
      <c r="B7" s="13" t="s">
        <v>23</v>
      </c>
      <c r="C7" s="14">
        <v>806</v>
      </c>
    </row>
    <row r="8" spans="2:3">
      <c r="B8" s="13" t="s">
        <v>19</v>
      </c>
      <c r="C8" s="14">
        <v>1502</v>
      </c>
    </row>
    <row r="9" spans="2:3">
      <c r="B9" s="13" t="s">
        <v>314</v>
      </c>
      <c r="C9" s="14">
        <v>2308</v>
      </c>
    </row>
    <row r="11" spans="2:3">
      <c r="B11" s="13" t="s">
        <v>317</v>
      </c>
    </row>
    <row r="12" spans="2:3">
      <c r="B12" s="12" t="s">
        <v>16</v>
      </c>
      <c r="C12" t="s">
        <v>27</v>
      </c>
    </row>
    <row r="14" spans="2:3">
      <c r="B14" s="12" t="s">
        <v>313</v>
      </c>
      <c r="C14" t="s">
        <v>318</v>
      </c>
    </row>
    <row r="15" spans="2:3">
      <c r="B15" s="13" t="s">
        <v>22</v>
      </c>
      <c r="C15" s="14">
        <v>0</v>
      </c>
    </row>
    <row r="16" spans="2:3">
      <c r="B16" s="13" t="s">
        <v>26</v>
      </c>
      <c r="C16" s="14">
        <v>0</v>
      </c>
    </row>
    <row r="17" spans="2:3">
      <c r="B17" s="13" t="s">
        <v>18</v>
      </c>
      <c r="C17" s="14">
        <v>990</v>
      </c>
    </row>
    <row r="18" spans="2:3">
      <c r="B18" s="13" t="s">
        <v>314</v>
      </c>
      <c r="C18" s="14">
        <v>990</v>
      </c>
    </row>
    <row r="21" spans="2:3">
      <c r="C21" s="15">
        <f>GETPIVOTDATA("EA Play Season Pass
Price",$B$14)</f>
        <v>990</v>
      </c>
    </row>
    <row r="24" spans="2:3">
      <c r="B24" s="13" t="s">
        <v>319</v>
      </c>
    </row>
    <row r="25" spans="2:3">
      <c r="B25" s="12" t="s">
        <v>16</v>
      </c>
      <c r="C25" t="s">
        <v>27</v>
      </c>
    </row>
    <row r="27" spans="2:3">
      <c r="B27" s="12" t="s">
        <v>313</v>
      </c>
      <c r="C27" t="s">
        <v>320</v>
      </c>
    </row>
    <row r="28" spans="2:3">
      <c r="B28" s="13" t="s">
        <v>22</v>
      </c>
      <c r="C28" s="14">
        <v>0</v>
      </c>
    </row>
    <row r="29" spans="2:3">
      <c r="B29" s="13" t="s">
        <v>26</v>
      </c>
      <c r="C29" s="14">
        <v>480</v>
      </c>
    </row>
    <row r="30" spans="2:3">
      <c r="B30" s="13" t="s">
        <v>18</v>
      </c>
      <c r="C30" s="14">
        <v>660</v>
      </c>
    </row>
    <row r="31" spans="2:3">
      <c r="B31" s="13" t="s">
        <v>314</v>
      </c>
      <c r="C31" s="14">
        <v>1140</v>
      </c>
    </row>
    <row r="34" spans="3:3">
      <c r="C34" s="15">
        <f>GETPIVOTDATA("EA Play Season Pass
Price",$B$14)</f>
        <v>990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301"/>
  <sheetViews>
    <sheetView showGridLines="0" showRowColHeaders="0" tabSelected="1" zoomScale="85" zoomScaleNormal="85" workbookViewId="0">
      <selection activeCell="C4" sqref="C4"/>
    </sheetView>
  </sheetViews>
  <sheetFormatPr defaultRowHeight="13.8"/>
  <cols>
    <col min="1" max="1" width="25.5" style="5" customWidth="1"/>
    <col min="2" max="2" width="3.59765625" customWidth="1"/>
    <col min="12" max="12" width="6.59765625" customWidth="1"/>
  </cols>
  <sheetData>
    <row r="2" spans="1:21" ht="24" thickBot="1">
      <c r="C2" s="18" t="s">
        <v>316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</row>
    <row r="3" spans="1:21" ht="19.2" customHeight="1" thickTop="1"/>
    <row r="4" spans="1:21" s="16" customFormat="1" ht="8.25" customHeight="1">
      <c r="A4" s="5"/>
    </row>
    <row r="5" spans="1:21" s="16" customFormat="1" ht="7.5" customHeight="1">
      <c r="A5" s="5"/>
    </row>
    <row r="6" spans="1:21" s="16" customFormat="1" ht="10.5" customHeight="1">
      <c r="A6" s="5"/>
    </row>
    <row r="7" spans="1:21" s="16" customFormat="1" ht="9.75" customHeight="1">
      <c r="A7" s="5"/>
    </row>
    <row r="8" spans="1:21" s="16" customFormat="1" ht="33" customHeight="1">
      <c r="A8" s="5"/>
    </row>
    <row r="9" spans="1:21" s="16" customFormat="1">
      <c r="A9" s="5"/>
    </row>
    <row r="10" spans="1:21" s="16" customFormat="1">
      <c r="A10" s="5"/>
    </row>
    <row r="11" spans="1:21" s="16" customFormat="1">
      <c r="A11" s="5"/>
    </row>
    <row r="12" spans="1:21" s="16" customFormat="1">
      <c r="A12" s="5"/>
    </row>
    <row r="13" spans="1:21" s="16" customFormat="1">
      <c r="A13" s="5"/>
    </row>
    <row r="14" spans="1:21" s="16" customFormat="1">
      <c r="A14" s="5"/>
    </row>
    <row r="15" spans="1:21" s="16" customFormat="1">
      <c r="A15" s="5"/>
    </row>
    <row r="16" spans="1:21" s="16" customFormat="1">
      <c r="A16" s="5"/>
    </row>
    <row r="17" spans="1:1" s="16" customFormat="1">
      <c r="A17" s="5"/>
    </row>
    <row r="18" spans="1:1" s="16" customFormat="1">
      <c r="A18" s="5"/>
    </row>
    <row r="19" spans="1:1" s="16" customFormat="1">
      <c r="A19" s="5"/>
    </row>
    <row r="20" spans="1:1" s="16" customFormat="1">
      <c r="A20" s="5"/>
    </row>
    <row r="21" spans="1:1" s="16" customFormat="1">
      <c r="A21" s="5"/>
    </row>
    <row r="22" spans="1:1" s="16" customFormat="1">
      <c r="A22" s="5"/>
    </row>
    <row r="23" spans="1:1" s="16" customFormat="1">
      <c r="A23" s="5"/>
    </row>
    <row r="24" spans="1:1" s="16" customFormat="1">
      <c r="A24" s="5"/>
    </row>
    <row r="25" spans="1:1" s="16" customFormat="1">
      <c r="A25" s="5"/>
    </row>
    <row r="26" spans="1:1" s="16" customFormat="1">
      <c r="A26" s="5"/>
    </row>
    <row r="27" spans="1:1" s="16" customFormat="1">
      <c r="A27" s="5"/>
    </row>
    <row r="28" spans="1:1" s="16" customFormat="1">
      <c r="A28" s="5"/>
    </row>
    <row r="29" spans="1:1" s="16" customFormat="1">
      <c r="A29" s="5"/>
    </row>
    <row r="30" spans="1:1" s="16" customFormat="1">
      <c r="A30" s="5"/>
    </row>
    <row r="31" spans="1:1" s="16" customFormat="1">
      <c r="A31" s="5"/>
    </row>
    <row r="32" spans="1:1" s="16" customFormat="1">
      <c r="A32" s="5"/>
    </row>
    <row r="33" spans="1:1" s="16" customFormat="1">
      <c r="A33" s="5"/>
    </row>
    <row r="34" spans="1:1" s="16" customFormat="1">
      <c r="A34" s="5"/>
    </row>
    <row r="35" spans="1:1" s="16" customFormat="1">
      <c r="A35" s="5"/>
    </row>
    <row r="36" spans="1:1" s="16" customFormat="1">
      <c r="A36" s="5"/>
    </row>
    <row r="37" spans="1:1" s="16" customFormat="1">
      <c r="A37" s="5"/>
    </row>
    <row r="38" spans="1:1" s="16" customFormat="1">
      <c r="A38" s="5"/>
    </row>
    <row r="39" spans="1:1" s="16" customFormat="1">
      <c r="A39" s="5"/>
    </row>
    <row r="40" spans="1:1" s="16" customFormat="1">
      <c r="A40" s="5"/>
    </row>
    <row r="41" spans="1:1" s="16" customFormat="1">
      <c r="A41" s="5"/>
    </row>
    <row r="42" spans="1:1" s="16" customFormat="1">
      <c r="A42" s="5"/>
    </row>
    <row r="43" spans="1:1" s="16" customFormat="1">
      <c r="A43" s="5"/>
    </row>
    <row r="44" spans="1:1" s="16" customFormat="1">
      <c r="A44" s="5"/>
    </row>
    <row r="45" spans="1:1" s="16" customFormat="1">
      <c r="A45" s="5"/>
    </row>
    <row r="46" spans="1:1" s="16" customFormat="1">
      <c r="A46" s="5"/>
    </row>
    <row r="47" spans="1:1" s="16" customFormat="1">
      <c r="A47" s="5"/>
    </row>
    <row r="48" spans="1:1" s="16" customFormat="1">
      <c r="A48" s="5"/>
    </row>
    <row r="49" spans="1:1" s="16" customFormat="1">
      <c r="A49" s="5"/>
    </row>
    <row r="50" spans="1:1" s="16" customFormat="1">
      <c r="A50" s="5"/>
    </row>
    <row r="51" spans="1:1" s="16" customFormat="1">
      <c r="A51" s="5"/>
    </row>
    <row r="52" spans="1:1" s="16" customFormat="1">
      <c r="A52" s="5"/>
    </row>
    <row r="53" spans="1:1" s="16" customFormat="1">
      <c r="A53" s="5"/>
    </row>
    <row r="54" spans="1:1" s="16" customFormat="1">
      <c r="A54" s="5"/>
    </row>
    <row r="55" spans="1:1" s="16" customFormat="1">
      <c r="A55" s="5"/>
    </row>
    <row r="56" spans="1:1" s="16" customFormat="1">
      <c r="A56" s="5"/>
    </row>
    <row r="57" spans="1:1" s="16" customFormat="1">
      <c r="A57" s="5"/>
    </row>
    <row r="58" spans="1:1" s="16" customFormat="1">
      <c r="A58" s="5"/>
    </row>
    <row r="59" spans="1:1" s="16" customFormat="1">
      <c r="A59" s="5"/>
    </row>
    <row r="60" spans="1:1" s="16" customFormat="1">
      <c r="A60" s="5"/>
    </row>
    <row r="61" spans="1:1" s="16" customFormat="1">
      <c r="A61" s="5"/>
    </row>
    <row r="62" spans="1:1" s="16" customFormat="1">
      <c r="A62" s="5"/>
    </row>
    <row r="63" spans="1:1" s="16" customFormat="1">
      <c r="A63" s="5"/>
    </row>
    <row r="64" spans="1:1" s="16" customFormat="1">
      <c r="A64" s="5"/>
    </row>
    <row r="65" spans="1:1" s="16" customFormat="1">
      <c r="A65" s="5"/>
    </row>
    <row r="66" spans="1:1" s="16" customFormat="1">
      <c r="A66" s="5"/>
    </row>
    <row r="67" spans="1:1" s="16" customFormat="1">
      <c r="A67" s="5"/>
    </row>
    <row r="68" spans="1:1" s="16" customFormat="1">
      <c r="A68" s="5"/>
    </row>
    <row r="69" spans="1:1" s="16" customFormat="1">
      <c r="A69" s="5"/>
    </row>
    <row r="70" spans="1:1" s="16" customFormat="1">
      <c r="A70" s="5"/>
    </row>
    <row r="71" spans="1:1" s="16" customFormat="1">
      <c r="A71" s="5"/>
    </row>
    <row r="72" spans="1:1" s="16" customFormat="1">
      <c r="A72" s="5"/>
    </row>
    <row r="73" spans="1:1" s="16" customFormat="1">
      <c r="A73" s="5"/>
    </row>
    <row r="74" spans="1:1" s="16" customFormat="1">
      <c r="A74" s="5"/>
    </row>
    <row r="75" spans="1:1" s="16" customFormat="1">
      <c r="A75" s="5"/>
    </row>
    <row r="76" spans="1:1" s="16" customFormat="1">
      <c r="A76" s="5"/>
    </row>
    <row r="77" spans="1:1" s="16" customFormat="1">
      <c r="A77" s="5"/>
    </row>
    <row r="78" spans="1:1" s="16" customFormat="1">
      <c r="A78" s="5"/>
    </row>
    <row r="79" spans="1:1" s="16" customFormat="1">
      <c r="A79" s="5"/>
    </row>
    <row r="80" spans="1:1" s="16" customFormat="1">
      <c r="A80" s="5"/>
    </row>
    <row r="81" spans="1:1" s="16" customFormat="1">
      <c r="A81" s="5"/>
    </row>
    <row r="82" spans="1:1" s="16" customFormat="1">
      <c r="A82" s="5"/>
    </row>
    <row r="83" spans="1:1" s="16" customFormat="1">
      <c r="A83" s="5"/>
    </row>
    <row r="84" spans="1:1" s="16" customFormat="1">
      <c r="A84" s="5"/>
    </row>
    <row r="85" spans="1:1" s="16" customFormat="1">
      <c r="A85" s="5"/>
    </row>
    <row r="86" spans="1:1" s="16" customFormat="1">
      <c r="A86" s="5"/>
    </row>
    <row r="87" spans="1:1" s="16" customFormat="1">
      <c r="A87" s="5"/>
    </row>
    <row r="88" spans="1:1" s="16" customFormat="1">
      <c r="A88" s="5"/>
    </row>
    <row r="89" spans="1:1" s="16" customFormat="1">
      <c r="A89" s="5"/>
    </row>
    <row r="90" spans="1:1" s="16" customFormat="1">
      <c r="A90" s="5"/>
    </row>
    <row r="91" spans="1:1" s="16" customFormat="1">
      <c r="A91" s="5"/>
    </row>
    <row r="92" spans="1:1" s="16" customFormat="1">
      <c r="A92" s="5"/>
    </row>
    <row r="93" spans="1:1" s="16" customFormat="1">
      <c r="A93" s="5"/>
    </row>
    <row r="94" spans="1:1" s="16" customFormat="1">
      <c r="A94" s="5"/>
    </row>
    <row r="95" spans="1:1" s="16" customFormat="1">
      <c r="A95" s="5"/>
    </row>
    <row r="96" spans="1:1" s="16" customFormat="1">
      <c r="A96" s="5"/>
    </row>
    <row r="97" spans="1:1" s="16" customFormat="1">
      <c r="A97" s="5"/>
    </row>
    <row r="98" spans="1:1" s="16" customFormat="1">
      <c r="A98" s="5"/>
    </row>
    <row r="99" spans="1:1" s="16" customFormat="1">
      <c r="A99" s="5"/>
    </row>
    <row r="100" spans="1:1" s="16" customFormat="1">
      <c r="A100" s="5"/>
    </row>
    <row r="101" spans="1:1" s="16" customFormat="1">
      <c r="A101" s="5"/>
    </row>
    <row r="102" spans="1:1" s="16" customFormat="1">
      <c r="A102" s="5"/>
    </row>
    <row r="103" spans="1:1" s="16" customFormat="1">
      <c r="A103" s="5"/>
    </row>
    <row r="104" spans="1:1" s="16" customFormat="1">
      <c r="A104" s="5"/>
    </row>
    <row r="105" spans="1:1" s="16" customFormat="1">
      <c r="A105" s="5"/>
    </row>
    <row r="106" spans="1:1" s="16" customFormat="1">
      <c r="A106" s="5"/>
    </row>
    <row r="107" spans="1:1" s="16" customFormat="1">
      <c r="A107" s="5"/>
    </row>
    <row r="108" spans="1:1" s="16" customFormat="1">
      <c r="A108" s="5"/>
    </row>
    <row r="109" spans="1:1" s="16" customFormat="1">
      <c r="A109" s="5"/>
    </row>
    <row r="110" spans="1:1" s="16" customFormat="1">
      <c r="A110" s="5"/>
    </row>
    <row r="111" spans="1:1" s="16" customFormat="1">
      <c r="A111" s="5"/>
    </row>
    <row r="112" spans="1:1" s="16" customFormat="1">
      <c r="A112" s="5"/>
    </row>
    <row r="113" spans="1:1" s="16" customFormat="1">
      <c r="A113" s="5"/>
    </row>
    <row r="114" spans="1:1" s="16" customFormat="1">
      <c r="A114" s="5"/>
    </row>
    <row r="115" spans="1:1" s="16" customFormat="1">
      <c r="A115" s="5"/>
    </row>
    <row r="116" spans="1:1" s="16" customFormat="1">
      <c r="A116" s="5"/>
    </row>
    <row r="117" spans="1:1" s="16" customFormat="1">
      <c r="A117" s="5"/>
    </row>
    <row r="118" spans="1:1" s="16" customFormat="1">
      <c r="A118" s="5"/>
    </row>
    <row r="119" spans="1:1" s="16" customFormat="1">
      <c r="A119" s="5"/>
    </row>
    <row r="120" spans="1:1" s="16" customFormat="1">
      <c r="A120" s="5"/>
    </row>
    <row r="121" spans="1:1" s="16" customFormat="1">
      <c r="A121" s="5"/>
    </row>
    <row r="122" spans="1:1" s="16" customFormat="1">
      <c r="A122" s="5"/>
    </row>
    <row r="123" spans="1:1" s="16" customFormat="1">
      <c r="A123" s="5"/>
    </row>
    <row r="124" spans="1:1" s="16" customFormat="1">
      <c r="A124" s="5"/>
    </row>
    <row r="125" spans="1:1" s="16" customFormat="1">
      <c r="A125" s="5"/>
    </row>
    <row r="126" spans="1:1" s="16" customFormat="1">
      <c r="A126" s="5"/>
    </row>
    <row r="127" spans="1:1" s="16" customFormat="1">
      <c r="A127" s="5"/>
    </row>
    <row r="128" spans="1:1" s="16" customFormat="1">
      <c r="A128" s="5"/>
    </row>
    <row r="129" spans="1:1" s="16" customFormat="1">
      <c r="A129" s="5"/>
    </row>
    <row r="130" spans="1:1" s="16" customFormat="1">
      <c r="A130" s="5"/>
    </row>
    <row r="131" spans="1:1" s="16" customFormat="1">
      <c r="A131" s="5"/>
    </row>
    <row r="132" spans="1:1" s="16" customFormat="1">
      <c r="A132" s="5"/>
    </row>
    <row r="133" spans="1:1" s="16" customFormat="1">
      <c r="A133" s="5"/>
    </row>
    <row r="134" spans="1:1" s="16" customFormat="1">
      <c r="A134" s="5"/>
    </row>
    <row r="135" spans="1:1" s="16" customFormat="1">
      <c r="A135" s="5"/>
    </row>
    <row r="136" spans="1:1" s="16" customFormat="1">
      <c r="A136" s="5"/>
    </row>
    <row r="137" spans="1:1" s="16" customFormat="1">
      <c r="A137" s="5"/>
    </row>
    <row r="138" spans="1:1" s="16" customFormat="1">
      <c r="A138" s="5"/>
    </row>
    <row r="139" spans="1:1" s="16" customFormat="1">
      <c r="A139" s="5"/>
    </row>
    <row r="140" spans="1:1" s="16" customFormat="1">
      <c r="A140" s="5"/>
    </row>
    <row r="141" spans="1:1" s="16" customFormat="1">
      <c r="A141" s="5"/>
    </row>
    <row r="142" spans="1:1" s="16" customFormat="1">
      <c r="A142" s="5"/>
    </row>
    <row r="143" spans="1:1" s="16" customFormat="1">
      <c r="A143" s="5"/>
    </row>
    <row r="144" spans="1:1" s="16" customFormat="1">
      <c r="A144" s="5"/>
    </row>
    <row r="145" spans="1:1" s="16" customFormat="1">
      <c r="A145" s="5"/>
    </row>
    <row r="146" spans="1:1" s="16" customFormat="1">
      <c r="A146" s="5"/>
    </row>
    <row r="147" spans="1:1" s="16" customFormat="1">
      <c r="A147" s="5"/>
    </row>
    <row r="148" spans="1:1" s="16" customFormat="1">
      <c r="A148" s="5"/>
    </row>
    <row r="149" spans="1:1" s="16" customFormat="1">
      <c r="A149" s="5"/>
    </row>
    <row r="150" spans="1:1" s="16" customFormat="1">
      <c r="A150" s="5"/>
    </row>
    <row r="151" spans="1:1" s="16" customFormat="1">
      <c r="A151" s="5"/>
    </row>
    <row r="152" spans="1:1" s="16" customFormat="1">
      <c r="A152" s="5"/>
    </row>
    <row r="153" spans="1:1" s="16" customFormat="1">
      <c r="A153" s="5"/>
    </row>
    <row r="154" spans="1:1" s="16" customFormat="1">
      <c r="A154" s="5"/>
    </row>
    <row r="155" spans="1:1" s="16" customFormat="1">
      <c r="A155" s="5"/>
    </row>
    <row r="156" spans="1:1" s="16" customFormat="1">
      <c r="A156" s="5"/>
    </row>
    <row r="157" spans="1:1" s="16" customFormat="1">
      <c r="A157" s="5"/>
    </row>
    <row r="158" spans="1:1" s="16" customFormat="1">
      <c r="A158" s="5"/>
    </row>
    <row r="159" spans="1:1" s="16" customFormat="1">
      <c r="A159" s="5"/>
    </row>
    <row r="160" spans="1:1" s="16" customFormat="1">
      <c r="A160" s="5"/>
    </row>
    <row r="161" spans="1:1" s="16" customFormat="1">
      <c r="A161" s="5"/>
    </row>
    <row r="162" spans="1:1" s="16" customFormat="1">
      <c r="A162" s="5"/>
    </row>
    <row r="163" spans="1:1" s="16" customFormat="1">
      <c r="A163" s="5"/>
    </row>
    <row r="164" spans="1:1" s="16" customFormat="1">
      <c r="A164" s="5"/>
    </row>
    <row r="165" spans="1:1" s="16" customFormat="1">
      <c r="A165" s="5"/>
    </row>
    <row r="166" spans="1:1" s="16" customFormat="1">
      <c r="A166" s="5"/>
    </row>
    <row r="167" spans="1:1" s="16" customFormat="1">
      <c r="A167" s="5"/>
    </row>
    <row r="168" spans="1:1" s="16" customFormat="1">
      <c r="A168" s="5"/>
    </row>
    <row r="169" spans="1:1" s="16" customFormat="1">
      <c r="A169" s="5"/>
    </row>
    <row r="170" spans="1:1" s="16" customFormat="1">
      <c r="A170" s="5"/>
    </row>
    <row r="171" spans="1:1" s="16" customFormat="1">
      <c r="A171" s="5"/>
    </row>
    <row r="172" spans="1:1" s="16" customFormat="1">
      <c r="A172" s="5"/>
    </row>
    <row r="173" spans="1:1" s="16" customFormat="1">
      <c r="A173" s="5"/>
    </row>
    <row r="174" spans="1:1" s="16" customFormat="1">
      <c r="A174" s="5"/>
    </row>
    <row r="175" spans="1:1" s="16" customFormat="1">
      <c r="A175" s="5"/>
    </row>
    <row r="176" spans="1:1" s="16" customFormat="1">
      <c r="A176" s="5"/>
    </row>
    <row r="177" spans="1:1" s="16" customFormat="1">
      <c r="A177" s="5"/>
    </row>
    <row r="178" spans="1:1" s="16" customFormat="1">
      <c r="A178" s="5"/>
    </row>
    <row r="179" spans="1:1" s="16" customFormat="1">
      <c r="A179" s="5"/>
    </row>
    <row r="180" spans="1:1" s="16" customFormat="1">
      <c r="A180" s="5"/>
    </row>
    <row r="181" spans="1:1" s="16" customFormat="1">
      <c r="A181" s="5"/>
    </row>
    <row r="182" spans="1:1" s="16" customFormat="1">
      <c r="A182" s="5"/>
    </row>
    <row r="183" spans="1:1" s="16" customFormat="1">
      <c r="A183" s="5"/>
    </row>
    <row r="184" spans="1:1" s="16" customFormat="1">
      <c r="A184" s="5"/>
    </row>
    <row r="185" spans="1:1" s="16" customFormat="1">
      <c r="A185" s="5"/>
    </row>
    <row r="186" spans="1:1" s="16" customFormat="1">
      <c r="A186" s="5"/>
    </row>
    <row r="187" spans="1:1" s="16" customFormat="1">
      <c r="A187" s="5"/>
    </row>
    <row r="188" spans="1:1" s="16" customFormat="1">
      <c r="A188" s="5"/>
    </row>
    <row r="189" spans="1:1" s="16" customFormat="1">
      <c r="A189" s="5"/>
    </row>
    <row r="190" spans="1:1" s="16" customFormat="1">
      <c r="A190" s="5"/>
    </row>
    <row r="191" spans="1:1" s="16" customFormat="1">
      <c r="A191" s="5"/>
    </row>
    <row r="192" spans="1:1" s="16" customFormat="1">
      <c r="A192" s="5"/>
    </row>
    <row r="193" spans="1:1" s="16" customFormat="1">
      <c r="A193" s="5"/>
    </row>
    <row r="194" spans="1:1" s="16" customFormat="1">
      <c r="A194" s="5"/>
    </row>
    <row r="195" spans="1:1" s="16" customFormat="1">
      <c r="A195" s="5"/>
    </row>
    <row r="196" spans="1:1" s="16" customFormat="1">
      <c r="A196" s="5"/>
    </row>
    <row r="197" spans="1:1" s="16" customFormat="1">
      <c r="A197" s="5"/>
    </row>
    <row r="198" spans="1:1" s="16" customFormat="1">
      <c r="A198" s="5"/>
    </row>
    <row r="199" spans="1:1" s="16" customFormat="1">
      <c r="A199" s="5"/>
    </row>
    <row r="200" spans="1:1" s="16" customFormat="1">
      <c r="A200" s="5"/>
    </row>
    <row r="201" spans="1:1" s="16" customFormat="1">
      <c r="A201" s="5"/>
    </row>
    <row r="202" spans="1:1" s="16" customFormat="1">
      <c r="A202" s="5"/>
    </row>
    <row r="203" spans="1:1" s="16" customFormat="1">
      <c r="A203" s="5"/>
    </row>
    <row r="204" spans="1:1" s="16" customFormat="1">
      <c r="A204" s="5"/>
    </row>
    <row r="205" spans="1:1" s="16" customFormat="1">
      <c r="A205" s="5"/>
    </row>
    <row r="206" spans="1:1" s="16" customFormat="1">
      <c r="A206" s="5"/>
    </row>
    <row r="207" spans="1:1" s="16" customFormat="1">
      <c r="A207" s="5"/>
    </row>
    <row r="208" spans="1:1" s="16" customFormat="1">
      <c r="A208" s="5"/>
    </row>
    <row r="209" spans="1:1" s="16" customFormat="1">
      <c r="A209" s="5"/>
    </row>
    <row r="210" spans="1:1" s="16" customFormat="1">
      <c r="A210" s="5"/>
    </row>
    <row r="211" spans="1:1" s="16" customFormat="1">
      <c r="A211" s="5"/>
    </row>
    <row r="212" spans="1:1" s="16" customFormat="1">
      <c r="A212" s="5"/>
    </row>
    <row r="213" spans="1:1" s="16" customFormat="1">
      <c r="A213" s="5"/>
    </row>
    <row r="214" spans="1:1" s="16" customFormat="1">
      <c r="A214" s="5"/>
    </row>
    <row r="215" spans="1:1" s="16" customFormat="1">
      <c r="A215" s="5"/>
    </row>
    <row r="216" spans="1:1" s="16" customFormat="1">
      <c r="A216" s="5"/>
    </row>
    <row r="217" spans="1:1" s="16" customFormat="1">
      <c r="A217" s="5"/>
    </row>
    <row r="218" spans="1:1" s="16" customFormat="1">
      <c r="A218" s="5"/>
    </row>
    <row r="219" spans="1:1" s="16" customFormat="1">
      <c r="A219" s="5"/>
    </row>
    <row r="220" spans="1:1" s="16" customFormat="1">
      <c r="A220" s="5"/>
    </row>
    <row r="221" spans="1:1" s="16" customFormat="1">
      <c r="A221" s="5"/>
    </row>
    <row r="222" spans="1:1" s="16" customFormat="1">
      <c r="A222" s="5"/>
    </row>
    <row r="223" spans="1:1" s="16" customFormat="1">
      <c r="A223" s="5"/>
    </row>
    <row r="224" spans="1:1" s="16" customFormat="1">
      <c r="A224" s="5"/>
    </row>
    <row r="225" spans="1:1" s="16" customFormat="1">
      <c r="A225" s="5"/>
    </row>
    <row r="226" spans="1:1" s="16" customFormat="1">
      <c r="A226" s="5"/>
    </row>
    <row r="227" spans="1:1" s="16" customFormat="1">
      <c r="A227" s="5"/>
    </row>
    <row r="228" spans="1:1" s="16" customFormat="1">
      <c r="A228" s="5"/>
    </row>
    <row r="229" spans="1:1" s="16" customFormat="1">
      <c r="A229" s="5"/>
    </row>
    <row r="230" spans="1:1" s="16" customFormat="1">
      <c r="A230" s="5"/>
    </row>
    <row r="231" spans="1:1" s="16" customFormat="1">
      <c r="A231" s="5"/>
    </row>
    <row r="232" spans="1:1" s="16" customFormat="1">
      <c r="A232" s="5"/>
    </row>
    <row r="233" spans="1:1" s="16" customFormat="1">
      <c r="A233" s="5"/>
    </row>
    <row r="234" spans="1:1" s="16" customFormat="1">
      <c r="A234" s="5"/>
    </row>
    <row r="235" spans="1:1" s="16" customFormat="1">
      <c r="A235" s="5"/>
    </row>
    <row r="236" spans="1:1" s="16" customFormat="1">
      <c r="A236" s="5"/>
    </row>
    <row r="237" spans="1:1" s="16" customFormat="1">
      <c r="A237" s="5"/>
    </row>
    <row r="238" spans="1:1" s="16" customFormat="1">
      <c r="A238" s="5"/>
    </row>
    <row r="239" spans="1:1" s="16" customFormat="1">
      <c r="A239" s="5"/>
    </row>
    <row r="240" spans="1:1" s="16" customFormat="1">
      <c r="A240" s="5"/>
    </row>
    <row r="241" spans="1:1" s="16" customFormat="1">
      <c r="A241" s="5"/>
    </row>
    <row r="242" spans="1:1" s="16" customFormat="1">
      <c r="A242" s="5"/>
    </row>
    <row r="243" spans="1:1" s="16" customFormat="1">
      <c r="A243" s="5"/>
    </row>
    <row r="244" spans="1:1" s="16" customFormat="1">
      <c r="A244" s="5"/>
    </row>
    <row r="245" spans="1:1" s="16" customFormat="1">
      <c r="A245" s="5"/>
    </row>
    <row r="246" spans="1:1" s="16" customFormat="1">
      <c r="A246" s="5"/>
    </row>
    <row r="247" spans="1:1" s="16" customFormat="1">
      <c r="A247" s="5"/>
    </row>
    <row r="248" spans="1:1" s="16" customFormat="1">
      <c r="A248" s="5"/>
    </row>
    <row r="249" spans="1:1" s="16" customFormat="1">
      <c r="A249" s="5"/>
    </row>
    <row r="250" spans="1:1" s="16" customFormat="1">
      <c r="A250" s="5"/>
    </row>
    <row r="251" spans="1:1" s="16" customFormat="1">
      <c r="A251" s="5"/>
    </row>
    <row r="252" spans="1:1" s="16" customFormat="1">
      <c r="A252" s="5"/>
    </row>
    <row r="253" spans="1:1" s="16" customFormat="1">
      <c r="A253" s="5"/>
    </row>
    <row r="254" spans="1:1" s="16" customFormat="1">
      <c r="A254" s="5"/>
    </row>
    <row r="255" spans="1:1" s="16" customFormat="1">
      <c r="A255" s="5"/>
    </row>
    <row r="256" spans="1:1" s="16" customFormat="1">
      <c r="A256" s="5"/>
    </row>
    <row r="257" spans="1:1" s="16" customFormat="1">
      <c r="A257" s="5"/>
    </row>
    <row r="258" spans="1:1" s="16" customFormat="1">
      <c r="A258" s="5"/>
    </row>
    <row r="259" spans="1:1" s="16" customFormat="1">
      <c r="A259" s="5"/>
    </row>
    <row r="260" spans="1:1" s="16" customFormat="1">
      <c r="A260" s="5"/>
    </row>
    <row r="261" spans="1:1" s="16" customFormat="1">
      <c r="A261" s="5"/>
    </row>
    <row r="262" spans="1:1" s="16" customFormat="1">
      <c r="A262" s="5"/>
    </row>
    <row r="263" spans="1:1" s="16" customFormat="1">
      <c r="A263" s="5"/>
    </row>
    <row r="264" spans="1:1" s="16" customFormat="1">
      <c r="A264" s="5"/>
    </row>
    <row r="265" spans="1:1" s="16" customFormat="1">
      <c r="A265" s="5"/>
    </row>
    <row r="266" spans="1:1" s="16" customFormat="1">
      <c r="A266" s="5"/>
    </row>
    <row r="267" spans="1:1" s="16" customFormat="1">
      <c r="A267" s="5"/>
    </row>
    <row r="268" spans="1:1" s="16" customFormat="1">
      <c r="A268" s="5"/>
    </row>
    <row r="269" spans="1:1" s="16" customFormat="1">
      <c r="A269" s="5"/>
    </row>
    <row r="270" spans="1:1" s="16" customFormat="1">
      <c r="A270" s="5"/>
    </row>
    <row r="271" spans="1:1" s="16" customFormat="1">
      <c r="A271" s="5"/>
    </row>
    <row r="272" spans="1:1" s="16" customFormat="1">
      <c r="A272" s="5"/>
    </row>
    <row r="273" spans="1:1" s="16" customFormat="1">
      <c r="A273" s="5"/>
    </row>
    <row r="274" spans="1:1" s="16" customFormat="1">
      <c r="A274" s="5"/>
    </row>
    <row r="275" spans="1:1" s="16" customFormat="1">
      <c r="A275" s="5"/>
    </row>
    <row r="276" spans="1:1" s="16" customFormat="1">
      <c r="A276" s="5"/>
    </row>
    <row r="277" spans="1:1" s="16" customFormat="1">
      <c r="A277" s="5"/>
    </row>
    <row r="278" spans="1:1" s="16" customFormat="1">
      <c r="A278" s="5"/>
    </row>
    <row r="279" spans="1:1" s="16" customFormat="1">
      <c r="A279" s="5"/>
    </row>
    <row r="280" spans="1:1" s="16" customFormat="1">
      <c r="A280" s="5"/>
    </row>
    <row r="281" spans="1:1" s="16" customFormat="1">
      <c r="A281" s="5"/>
    </row>
    <row r="282" spans="1:1" s="16" customFormat="1">
      <c r="A282" s="5"/>
    </row>
    <row r="283" spans="1:1" s="16" customFormat="1">
      <c r="A283" s="5"/>
    </row>
    <row r="284" spans="1:1" s="16" customFormat="1">
      <c r="A284" s="5"/>
    </row>
    <row r="285" spans="1:1" s="16" customFormat="1">
      <c r="A285" s="5"/>
    </row>
    <row r="286" spans="1:1" s="16" customFormat="1">
      <c r="A286" s="5"/>
    </row>
    <row r="287" spans="1:1" s="16" customFormat="1">
      <c r="A287" s="5"/>
    </row>
    <row r="288" spans="1:1" s="16" customFormat="1">
      <c r="A288" s="5"/>
    </row>
    <row r="289" spans="1:1" s="16" customFormat="1">
      <c r="A289" s="5"/>
    </row>
    <row r="290" spans="1:1" s="16" customFormat="1">
      <c r="A290" s="5"/>
    </row>
    <row r="291" spans="1:1" s="16" customFormat="1">
      <c r="A291" s="5"/>
    </row>
    <row r="292" spans="1:1" s="16" customFormat="1">
      <c r="A292" s="5"/>
    </row>
    <row r="293" spans="1:1" s="16" customFormat="1">
      <c r="A293" s="5"/>
    </row>
    <row r="294" spans="1:1" s="16" customFormat="1">
      <c r="A294" s="5"/>
    </row>
    <row r="295" spans="1:1" s="16" customFormat="1">
      <c r="A295" s="5"/>
    </row>
    <row r="296" spans="1:1" s="16" customFormat="1">
      <c r="A296" s="5"/>
    </row>
    <row r="297" spans="1:1" s="16" customFormat="1">
      <c r="A297" s="5"/>
    </row>
    <row r="298" spans="1:1" s="16" customFormat="1">
      <c r="A298" s="5"/>
    </row>
    <row r="299" spans="1:1" s="16" customFormat="1">
      <c r="A299" s="5"/>
    </row>
    <row r="300" spans="1:1" s="16" customFormat="1">
      <c r="A300" s="5"/>
    </row>
    <row r="301" spans="1:1" s="16" customFormat="1">
      <c r="A301" s="5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purl.org/dc/terms/"/>
    <ds:schemaRef ds:uri="http://www.w3.org/XML/1998/namespace"/>
    <ds:schemaRef ds:uri="http://purl.org/dc/elements/1.1/"/>
    <ds:schemaRef ds:uri="19483571-f922-4e8e-9c1c-26f0a2252132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851b35d3-0456-4d6a-bc2f-da927e91d158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GUILHERME</cp:lastModifiedBy>
  <dcterms:created xsi:type="dcterms:W3CDTF">2024-12-19T13:13:10Z</dcterms:created>
  <dcterms:modified xsi:type="dcterms:W3CDTF">2026-10-07T21:35:47Z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